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0hecsag\Documents\Video Tutorial 1 (Sediment Intro)\Solution Files\"/>
    </mc:Choice>
  </mc:AlternateContent>
  <bookViews>
    <workbookView xWindow="0" yWindow="0" windowWidth="38400" windowHeight="17535"/>
  </bookViews>
  <sheets>
    <sheet name="Flow" sheetId="1" r:id="rId1"/>
    <sheet name="Bed Sediment" sheetId="2" r:id="rId2"/>
    <sheet name="Sediment Flux Boundary Conditon" sheetId="3" r:id="rId3"/>
    <sheet name="Other" sheetId="4" r:id="rId4"/>
    <sheet name="Concentration Calibration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4" i="2" l="1"/>
  <c r="A15" i="2"/>
  <c r="A4" i="2"/>
  <c r="A5" i="2"/>
  <c r="A8" i="2"/>
  <c r="A9" i="2" s="1"/>
  <c r="A10" i="2" s="1"/>
  <c r="A11" i="2" s="1"/>
  <c r="A12" i="2" s="1"/>
  <c r="A13" i="2" s="1"/>
  <c r="A3" i="2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3" i="1"/>
</calcChain>
</file>

<file path=xl/sharedStrings.xml><?xml version="1.0" encoding="utf-8"?>
<sst xmlns="http://schemas.openxmlformats.org/spreadsheetml/2006/main" count="35" uniqueCount="34">
  <si>
    <t>Size</t>
  </si>
  <si>
    <t>%Finer</t>
  </si>
  <si>
    <t>Flow (cfs)</t>
  </si>
  <si>
    <t>Load (tons)</t>
  </si>
  <si>
    <t>Clay</t>
  </si>
  <si>
    <t>VFM</t>
  </si>
  <si>
    <t>FM</t>
  </si>
  <si>
    <t>MM</t>
  </si>
  <si>
    <t>CM</t>
  </si>
  <si>
    <t>VFS</t>
  </si>
  <si>
    <t>FS</t>
  </si>
  <si>
    <t>MS</t>
  </si>
  <si>
    <t>CS</t>
  </si>
  <si>
    <t>VCS</t>
  </si>
  <si>
    <t>VFG</t>
  </si>
  <si>
    <t>FG</t>
  </si>
  <si>
    <t>MG</t>
  </si>
  <si>
    <t>CG</t>
  </si>
  <si>
    <t>https://www.researchgate.net/publication/319857228_Flow_Dependence_of_Suspended_Sediment_Gradations</t>
  </si>
  <si>
    <t>https://agupubs.onlinelibrary.wiley.com/doi/abs/10.1002/2016WR020135</t>
  </si>
  <si>
    <t>Downstream Boundary</t>
  </si>
  <si>
    <t>Normal Depth</t>
  </si>
  <si>
    <t>Temperature</t>
  </si>
  <si>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</t>
    </r>
  </si>
  <si>
    <r>
      <t>Q 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/s)</t>
    </r>
  </si>
  <si>
    <r>
      <t>Q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=0.022*Q</t>
    </r>
    <r>
      <rPr>
        <vertAlign val="superscript"/>
        <sz val="11"/>
        <color theme="1"/>
        <rFont val="Calibri"/>
        <family val="2"/>
        <scheme val="minor"/>
      </rPr>
      <t>2.0</t>
    </r>
  </si>
  <si>
    <t>Simulation</t>
  </si>
  <si>
    <t>Concentration</t>
  </si>
  <si>
    <t>Flow</t>
  </si>
  <si>
    <t>m3/s</t>
  </si>
  <si>
    <t>mg/L</t>
  </si>
  <si>
    <t>Observed</t>
  </si>
  <si>
    <t>Load</t>
  </si>
  <si>
    <t>See Gibson and Cai (2017) Flow Dependence of Suspended Sediment Gradations, Water Resources Research, DOI: 10.1002/2016WR020135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</si>
</sst>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5AB8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5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/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7281F"/>
      <color rgb="FF663300"/>
      <color rgb="FFD5AB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80314960629921"/>
          <c:y val="5.0925925925925923E-2"/>
          <c:w val="0.80179418197725283"/>
          <c:h val="0.841674686497521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Flow!$A$2:$A$101</c:f>
              <c:numCache>
                <c:formatCode>d\-mmm\-yy</c:formatCode>
                <c:ptCount val="100"/>
                <c:pt idx="0">
                  <c:v>27576</c:v>
                </c:pt>
                <c:pt idx="1">
                  <c:v>27577</c:v>
                </c:pt>
                <c:pt idx="2">
                  <c:v>27578</c:v>
                </c:pt>
                <c:pt idx="3">
                  <c:v>27579</c:v>
                </c:pt>
                <c:pt idx="4">
                  <c:v>27580</c:v>
                </c:pt>
                <c:pt idx="5">
                  <c:v>27581</c:v>
                </c:pt>
                <c:pt idx="6">
                  <c:v>27582</c:v>
                </c:pt>
                <c:pt idx="7">
                  <c:v>27583</c:v>
                </c:pt>
                <c:pt idx="8">
                  <c:v>27584</c:v>
                </c:pt>
                <c:pt idx="9">
                  <c:v>27585</c:v>
                </c:pt>
                <c:pt idx="10">
                  <c:v>27586</c:v>
                </c:pt>
                <c:pt idx="11">
                  <c:v>27587</c:v>
                </c:pt>
                <c:pt idx="12">
                  <c:v>27588</c:v>
                </c:pt>
                <c:pt idx="13">
                  <c:v>27589</c:v>
                </c:pt>
                <c:pt idx="14">
                  <c:v>27590</c:v>
                </c:pt>
                <c:pt idx="15">
                  <c:v>27591</c:v>
                </c:pt>
                <c:pt idx="16">
                  <c:v>27592</c:v>
                </c:pt>
                <c:pt idx="17">
                  <c:v>27593</c:v>
                </c:pt>
                <c:pt idx="18">
                  <c:v>27594</c:v>
                </c:pt>
                <c:pt idx="19">
                  <c:v>27595</c:v>
                </c:pt>
                <c:pt idx="20">
                  <c:v>27596</c:v>
                </c:pt>
                <c:pt idx="21">
                  <c:v>27597</c:v>
                </c:pt>
                <c:pt idx="22">
                  <c:v>27598</c:v>
                </c:pt>
                <c:pt idx="23">
                  <c:v>27599</c:v>
                </c:pt>
                <c:pt idx="24">
                  <c:v>27600</c:v>
                </c:pt>
                <c:pt idx="25">
                  <c:v>27601</c:v>
                </c:pt>
                <c:pt idx="26">
                  <c:v>27602</c:v>
                </c:pt>
                <c:pt idx="27">
                  <c:v>27603</c:v>
                </c:pt>
                <c:pt idx="28">
                  <c:v>27604</c:v>
                </c:pt>
                <c:pt idx="29">
                  <c:v>27605</c:v>
                </c:pt>
                <c:pt idx="30">
                  <c:v>27606</c:v>
                </c:pt>
                <c:pt idx="31">
                  <c:v>27607</c:v>
                </c:pt>
                <c:pt idx="32">
                  <c:v>27608</c:v>
                </c:pt>
                <c:pt idx="33">
                  <c:v>27609</c:v>
                </c:pt>
                <c:pt idx="34">
                  <c:v>27610</c:v>
                </c:pt>
                <c:pt idx="35">
                  <c:v>27611</c:v>
                </c:pt>
                <c:pt idx="36">
                  <c:v>27612</c:v>
                </c:pt>
                <c:pt idx="37">
                  <c:v>27613</c:v>
                </c:pt>
                <c:pt idx="38">
                  <c:v>27614</c:v>
                </c:pt>
                <c:pt idx="39">
                  <c:v>27615</c:v>
                </c:pt>
                <c:pt idx="40">
                  <c:v>27616</c:v>
                </c:pt>
                <c:pt idx="41">
                  <c:v>27617</c:v>
                </c:pt>
                <c:pt idx="42">
                  <c:v>27618</c:v>
                </c:pt>
                <c:pt idx="43">
                  <c:v>27619</c:v>
                </c:pt>
                <c:pt idx="44">
                  <c:v>27620</c:v>
                </c:pt>
                <c:pt idx="45">
                  <c:v>27621</c:v>
                </c:pt>
                <c:pt idx="46">
                  <c:v>27622</c:v>
                </c:pt>
                <c:pt idx="47">
                  <c:v>27623</c:v>
                </c:pt>
                <c:pt idx="48">
                  <c:v>27624</c:v>
                </c:pt>
                <c:pt idx="49">
                  <c:v>27625</c:v>
                </c:pt>
                <c:pt idx="50">
                  <c:v>27626</c:v>
                </c:pt>
                <c:pt idx="51">
                  <c:v>27627</c:v>
                </c:pt>
                <c:pt idx="52">
                  <c:v>27628</c:v>
                </c:pt>
                <c:pt idx="53">
                  <c:v>27629</c:v>
                </c:pt>
                <c:pt idx="54">
                  <c:v>27630</c:v>
                </c:pt>
                <c:pt idx="55">
                  <c:v>27631</c:v>
                </c:pt>
                <c:pt idx="56">
                  <c:v>27632</c:v>
                </c:pt>
                <c:pt idx="57">
                  <c:v>27633</c:v>
                </c:pt>
                <c:pt idx="58">
                  <c:v>27634</c:v>
                </c:pt>
                <c:pt idx="59">
                  <c:v>27635</c:v>
                </c:pt>
                <c:pt idx="60">
                  <c:v>27636</c:v>
                </c:pt>
                <c:pt idx="61">
                  <c:v>27637</c:v>
                </c:pt>
                <c:pt idx="62">
                  <c:v>27638</c:v>
                </c:pt>
                <c:pt idx="63">
                  <c:v>27639</c:v>
                </c:pt>
                <c:pt idx="64">
                  <c:v>27640</c:v>
                </c:pt>
                <c:pt idx="65">
                  <c:v>27641</c:v>
                </c:pt>
                <c:pt idx="66">
                  <c:v>27642</c:v>
                </c:pt>
                <c:pt idx="67">
                  <c:v>27643</c:v>
                </c:pt>
                <c:pt idx="68">
                  <c:v>27644</c:v>
                </c:pt>
                <c:pt idx="69">
                  <c:v>27645</c:v>
                </c:pt>
                <c:pt idx="70">
                  <c:v>27646</c:v>
                </c:pt>
                <c:pt idx="71">
                  <c:v>27647</c:v>
                </c:pt>
                <c:pt idx="72">
                  <c:v>27648</c:v>
                </c:pt>
                <c:pt idx="73">
                  <c:v>27649</c:v>
                </c:pt>
                <c:pt idx="74">
                  <c:v>27650</c:v>
                </c:pt>
                <c:pt idx="75">
                  <c:v>27651</c:v>
                </c:pt>
                <c:pt idx="76">
                  <c:v>27652</c:v>
                </c:pt>
                <c:pt idx="77">
                  <c:v>27653</c:v>
                </c:pt>
                <c:pt idx="78">
                  <c:v>27654</c:v>
                </c:pt>
                <c:pt idx="79">
                  <c:v>27655</c:v>
                </c:pt>
                <c:pt idx="80">
                  <c:v>27656</c:v>
                </c:pt>
                <c:pt idx="81">
                  <c:v>27657</c:v>
                </c:pt>
                <c:pt idx="82">
                  <c:v>27658</c:v>
                </c:pt>
                <c:pt idx="83">
                  <c:v>27659</c:v>
                </c:pt>
                <c:pt idx="84">
                  <c:v>27660</c:v>
                </c:pt>
                <c:pt idx="85">
                  <c:v>27661</c:v>
                </c:pt>
                <c:pt idx="86">
                  <c:v>27662</c:v>
                </c:pt>
                <c:pt idx="87">
                  <c:v>27663</c:v>
                </c:pt>
                <c:pt idx="88">
                  <c:v>27664</c:v>
                </c:pt>
                <c:pt idx="89">
                  <c:v>27665</c:v>
                </c:pt>
                <c:pt idx="90">
                  <c:v>27666</c:v>
                </c:pt>
                <c:pt idx="91">
                  <c:v>27667</c:v>
                </c:pt>
                <c:pt idx="92">
                  <c:v>27668</c:v>
                </c:pt>
                <c:pt idx="93">
                  <c:v>27669</c:v>
                </c:pt>
                <c:pt idx="94">
                  <c:v>27670</c:v>
                </c:pt>
                <c:pt idx="95">
                  <c:v>27671</c:v>
                </c:pt>
                <c:pt idx="96">
                  <c:v>27672</c:v>
                </c:pt>
                <c:pt idx="97">
                  <c:v>27673</c:v>
                </c:pt>
                <c:pt idx="98">
                  <c:v>27674</c:v>
                </c:pt>
                <c:pt idx="99">
                  <c:v>27675</c:v>
                </c:pt>
              </c:numCache>
            </c:numRef>
          </c:xVal>
          <c:yVal>
            <c:numRef>
              <c:f>Flow!$B$2:$B$101</c:f>
              <c:numCache>
                <c:formatCode>0</c:formatCode>
                <c:ptCount val="100"/>
                <c:pt idx="0">
                  <c:v>50</c:v>
                </c:pt>
                <c:pt idx="1">
                  <c:v>87.5</c:v>
                </c:pt>
                <c:pt idx="2">
                  <c:v>125</c:v>
                </c:pt>
                <c:pt idx="3">
                  <c:v>162.5</c:v>
                </c:pt>
                <c:pt idx="4">
                  <c:v>200</c:v>
                </c:pt>
                <c:pt idx="5">
                  <c:v>237.5</c:v>
                </c:pt>
                <c:pt idx="6">
                  <c:v>275</c:v>
                </c:pt>
                <c:pt idx="7">
                  <c:v>312.5</c:v>
                </c:pt>
                <c:pt idx="8">
                  <c:v>350</c:v>
                </c:pt>
                <c:pt idx="9">
                  <c:v>387.5</c:v>
                </c:pt>
                <c:pt idx="10">
                  <c:v>425</c:v>
                </c:pt>
                <c:pt idx="11">
                  <c:v>462.5</c:v>
                </c:pt>
                <c:pt idx="12">
                  <c:v>500</c:v>
                </c:pt>
                <c:pt idx="13">
                  <c:v>1250</c:v>
                </c:pt>
                <c:pt idx="14">
                  <c:v>2000</c:v>
                </c:pt>
                <c:pt idx="15">
                  <c:v>2750</c:v>
                </c:pt>
                <c:pt idx="16">
                  <c:v>3500</c:v>
                </c:pt>
                <c:pt idx="17">
                  <c:v>4250</c:v>
                </c:pt>
                <c:pt idx="18">
                  <c:v>5000</c:v>
                </c:pt>
                <c:pt idx="19">
                  <c:v>4826.92</c:v>
                </c:pt>
                <c:pt idx="20">
                  <c:v>4653.8500000000004</c:v>
                </c:pt>
                <c:pt idx="21">
                  <c:v>4480.7700000000004</c:v>
                </c:pt>
                <c:pt idx="22">
                  <c:v>4307.6899999999996</c:v>
                </c:pt>
                <c:pt idx="23">
                  <c:v>4134.62</c:v>
                </c:pt>
                <c:pt idx="24">
                  <c:v>3961.54</c:v>
                </c:pt>
                <c:pt idx="25">
                  <c:v>3788.46</c:v>
                </c:pt>
                <c:pt idx="26">
                  <c:v>3615.39</c:v>
                </c:pt>
                <c:pt idx="27">
                  <c:v>3442.31</c:v>
                </c:pt>
                <c:pt idx="28">
                  <c:v>3269.23</c:v>
                </c:pt>
                <c:pt idx="29">
                  <c:v>3096.15</c:v>
                </c:pt>
                <c:pt idx="30">
                  <c:v>2923.08</c:v>
                </c:pt>
                <c:pt idx="31">
                  <c:v>2750</c:v>
                </c:pt>
                <c:pt idx="32">
                  <c:v>2576.92</c:v>
                </c:pt>
                <c:pt idx="33">
                  <c:v>2403.85</c:v>
                </c:pt>
                <c:pt idx="34">
                  <c:v>2230.77</c:v>
                </c:pt>
                <c:pt idx="35">
                  <c:v>2057.69</c:v>
                </c:pt>
                <c:pt idx="36">
                  <c:v>1884.62</c:v>
                </c:pt>
                <c:pt idx="37">
                  <c:v>1711.54</c:v>
                </c:pt>
                <c:pt idx="38">
                  <c:v>1538.46</c:v>
                </c:pt>
                <c:pt idx="39">
                  <c:v>1365.39</c:v>
                </c:pt>
                <c:pt idx="40">
                  <c:v>1192.31</c:v>
                </c:pt>
                <c:pt idx="41">
                  <c:v>1019.23</c:v>
                </c:pt>
                <c:pt idx="42">
                  <c:v>846.15</c:v>
                </c:pt>
                <c:pt idx="43">
                  <c:v>673.08</c:v>
                </c:pt>
                <c:pt idx="44">
                  <c:v>500</c:v>
                </c:pt>
                <c:pt idx="45">
                  <c:v>491.82</c:v>
                </c:pt>
                <c:pt idx="46">
                  <c:v>483.64</c:v>
                </c:pt>
                <c:pt idx="47">
                  <c:v>475.45</c:v>
                </c:pt>
                <c:pt idx="48">
                  <c:v>467.27</c:v>
                </c:pt>
                <c:pt idx="49">
                  <c:v>459.09</c:v>
                </c:pt>
                <c:pt idx="50">
                  <c:v>450.91</c:v>
                </c:pt>
                <c:pt idx="51">
                  <c:v>442.73</c:v>
                </c:pt>
                <c:pt idx="52">
                  <c:v>434.55</c:v>
                </c:pt>
                <c:pt idx="53">
                  <c:v>426.36</c:v>
                </c:pt>
                <c:pt idx="54">
                  <c:v>418.18</c:v>
                </c:pt>
                <c:pt idx="55">
                  <c:v>410</c:v>
                </c:pt>
                <c:pt idx="56">
                  <c:v>401.82</c:v>
                </c:pt>
                <c:pt idx="57">
                  <c:v>393.64</c:v>
                </c:pt>
                <c:pt idx="58">
                  <c:v>385.45</c:v>
                </c:pt>
                <c:pt idx="59">
                  <c:v>377.27</c:v>
                </c:pt>
                <c:pt idx="60">
                  <c:v>369.09</c:v>
                </c:pt>
                <c:pt idx="61">
                  <c:v>360.91</c:v>
                </c:pt>
                <c:pt idx="62">
                  <c:v>352.73</c:v>
                </c:pt>
                <c:pt idx="63">
                  <c:v>344.55</c:v>
                </c:pt>
                <c:pt idx="64">
                  <c:v>336.36</c:v>
                </c:pt>
                <c:pt idx="65">
                  <c:v>328.18</c:v>
                </c:pt>
                <c:pt idx="66">
                  <c:v>320</c:v>
                </c:pt>
                <c:pt idx="67">
                  <c:v>311.82</c:v>
                </c:pt>
                <c:pt idx="68">
                  <c:v>303.64</c:v>
                </c:pt>
                <c:pt idx="69">
                  <c:v>295.45</c:v>
                </c:pt>
                <c:pt idx="70">
                  <c:v>287.27</c:v>
                </c:pt>
                <c:pt idx="71">
                  <c:v>279.08999999999997</c:v>
                </c:pt>
                <c:pt idx="72">
                  <c:v>270.91000000000003</c:v>
                </c:pt>
                <c:pt idx="73">
                  <c:v>262.73</c:v>
                </c:pt>
                <c:pt idx="74">
                  <c:v>254.55</c:v>
                </c:pt>
                <c:pt idx="75">
                  <c:v>246.36</c:v>
                </c:pt>
                <c:pt idx="76">
                  <c:v>238.18</c:v>
                </c:pt>
                <c:pt idx="77">
                  <c:v>230</c:v>
                </c:pt>
                <c:pt idx="78">
                  <c:v>221.82</c:v>
                </c:pt>
                <c:pt idx="79">
                  <c:v>213.64</c:v>
                </c:pt>
                <c:pt idx="80">
                  <c:v>205.45</c:v>
                </c:pt>
                <c:pt idx="81">
                  <c:v>197.27</c:v>
                </c:pt>
                <c:pt idx="82">
                  <c:v>189.09</c:v>
                </c:pt>
                <c:pt idx="83">
                  <c:v>180.91</c:v>
                </c:pt>
                <c:pt idx="84">
                  <c:v>172.73</c:v>
                </c:pt>
                <c:pt idx="85">
                  <c:v>164.55</c:v>
                </c:pt>
                <c:pt idx="86">
                  <c:v>156.36000000000001</c:v>
                </c:pt>
                <c:pt idx="87">
                  <c:v>148.18</c:v>
                </c:pt>
                <c:pt idx="88">
                  <c:v>140</c:v>
                </c:pt>
                <c:pt idx="89">
                  <c:v>131.82</c:v>
                </c:pt>
                <c:pt idx="90">
                  <c:v>123.64</c:v>
                </c:pt>
                <c:pt idx="91">
                  <c:v>115.45</c:v>
                </c:pt>
                <c:pt idx="92">
                  <c:v>107.27</c:v>
                </c:pt>
                <c:pt idx="93">
                  <c:v>99.09</c:v>
                </c:pt>
                <c:pt idx="94">
                  <c:v>90.91</c:v>
                </c:pt>
                <c:pt idx="95">
                  <c:v>82.73</c:v>
                </c:pt>
                <c:pt idx="96">
                  <c:v>74.55</c:v>
                </c:pt>
                <c:pt idx="97">
                  <c:v>66.36</c:v>
                </c:pt>
                <c:pt idx="98">
                  <c:v>58.18</c:v>
                </c:pt>
                <c:pt idx="99">
                  <c:v>50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716368"/>
        <c:axId val="428450104"/>
      </c:scatterChart>
      <c:valAx>
        <c:axId val="467716368"/>
        <c:scaling>
          <c:orientation val="minMax"/>
          <c:max val="27685"/>
          <c:min val="2757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450104"/>
        <c:crosses val="autoZero"/>
        <c:crossBetween val="midCat"/>
      </c:valAx>
      <c:valAx>
        <c:axId val="428450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Flow (m</a:t>
                </a:r>
                <a:r>
                  <a:rPr lang="en-US" sz="1100" baseline="30000"/>
                  <a:t>3</a:t>
                </a:r>
                <a:r>
                  <a:rPr lang="en-US" sz="1100"/>
                  <a:t>/s)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716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91426071741034"/>
          <c:y val="5.0925925925925923E-2"/>
          <c:w val="0.804530183727034"/>
          <c:h val="0.75371172353455818"/>
        </c:manualLayout>
      </c:layout>
      <c:scatterChart>
        <c:scatterStyle val="lineMarker"/>
        <c:varyColors val="0"/>
        <c:ser>
          <c:idx val="0"/>
          <c:order val="0"/>
          <c:tx>
            <c:strRef>
              <c:f>'Bed Sediment'!$B$1</c:f>
              <c:strCache>
                <c:ptCount val="1"/>
                <c:pt idx="0">
                  <c:v>%Finer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'Bed Sediment'!$A$2:$A$15</c:f>
              <c:numCache>
                <c:formatCode>General</c:formatCode>
                <c:ptCount val="14"/>
                <c:pt idx="0">
                  <c:v>4.0000000000000001E-3</c:v>
                </c:pt>
                <c:pt idx="1">
                  <c:v>8.0000000000000002E-3</c:v>
                </c:pt>
                <c:pt idx="2">
                  <c:v>1.6E-2</c:v>
                </c:pt>
                <c:pt idx="3">
                  <c:v>3.2000000000000001E-2</c:v>
                </c:pt>
                <c:pt idx="4">
                  <c:v>6.25E-2</c:v>
                </c:pt>
                <c:pt idx="5">
                  <c:v>0.125</c:v>
                </c:pt>
                <c:pt idx="6">
                  <c:v>0.25</c:v>
                </c:pt>
                <c:pt idx="7">
                  <c:v>0.5</c:v>
                </c:pt>
                <c:pt idx="8">
                  <c:v>1</c:v>
                </c:pt>
                <c:pt idx="9">
                  <c:v>2</c:v>
                </c:pt>
                <c:pt idx="10">
                  <c:v>4</c:v>
                </c:pt>
                <c:pt idx="11">
                  <c:v>8</c:v>
                </c:pt>
                <c:pt idx="12">
                  <c:v>16</c:v>
                </c:pt>
                <c:pt idx="13">
                  <c:v>32</c:v>
                </c:pt>
              </c:numCache>
            </c:numRef>
          </c:xVal>
          <c:yVal>
            <c:numRef>
              <c:f>'Bed Sediment'!$B$2:$B$15</c:f>
              <c:numCache>
                <c:formatCode>General</c:formatCode>
                <c:ptCount val="14"/>
                <c:pt idx="4">
                  <c:v>0</c:v>
                </c:pt>
                <c:pt idx="5">
                  <c:v>3</c:v>
                </c:pt>
                <c:pt idx="6">
                  <c:v>15</c:v>
                </c:pt>
                <c:pt idx="7">
                  <c:v>50</c:v>
                </c:pt>
                <c:pt idx="8">
                  <c:v>85</c:v>
                </c:pt>
                <c:pt idx="9">
                  <c:v>95</c:v>
                </c:pt>
                <c:pt idx="10">
                  <c:v>97</c:v>
                </c:pt>
                <c:pt idx="11">
                  <c:v>98</c:v>
                </c:pt>
                <c:pt idx="12">
                  <c:v>99</c:v>
                </c:pt>
                <c:pt idx="13">
                  <c:v>100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821464"/>
        <c:axId val="464821856"/>
      </c:scatterChart>
      <c:valAx>
        <c:axId val="464821464"/>
        <c:scaling>
          <c:logBase val="10"/>
          <c:orientation val="minMax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diameter (mm)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821856"/>
        <c:crosses val="autoZero"/>
        <c:crossBetween val="midCat"/>
      </c:valAx>
      <c:valAx>
        <c:axId val="46482185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% finer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821464"/>
        <c:crossesAt val="1.0000000000000002E-2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22412510936133"/>
          <c:y val="4.3815007555225591E-2"/>
          <c:w val="0.75848797025371828"/>
          <c:h val="0.7994262092557477"/>
        </c:manualLayout>
      </c:layout>
      <c:scatterChart>
        <c:scatterStyle val="lineMarker"/>
        <c:varyColors val="0"/>
        <c:ser>
          <c:idx val="0"/>
          <c:order val="0"/>
          <c:tx>
            <c:v>Simulated</c:v>
          </c:tx>
          <c:spPr>
            <a:ln w="19050" cap="rnd">
              <a:solidFill>
                <a:srgbClr val="6633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rgbClr val="47281F"/>
                </a:solidFill>
              </a:ln>
              <a:effectLst/>
            </c:spPr>
          </c:marker>
          <c:xVal>
            <c:numRef>
              <c:f>'Concentration Calibration'!$B$4:$B$1003</c:f>
              <c:numCache>
                <c:formatCode>General</c:formatCode>
                <c:ptCount val="1000"/>
                <c:pt idx="0">
                  <c:v>50</c:v>
                </c:pt>
                <c:pt idx="1">
                  <c:v>87.5</c:v>
                </c:pt>
                <c:pt idx="2">
                  <c:v>125</c:v>
                </c:pt>
                <c:pt idx="3">
                  <c:v>162.5</c:v>
                </c:pt>
                <c:pt idx="4">
                  <c:v>200</c:v>
                </c:pt>
                <c:pt idx="5">
                  <c:v>237.5</c:v>
                </c:pt>
                <c:pt idx="6">
                  <c:v>275</c:v>
                </c:pt>
                <c:pt idx="7">
                  <c:v>312.5</c:v>
                </c:pt>
                <c:pt idx="8">
                  <c:v>350</c:v>
                </c:pt>
                <c:pt idx="9">
                  <c:v>387.5</c:v>
                </c:pt>
                <c:pt idx="10">
                  <c:v>425</c:v>
                </c:pt>
                <c:pt idx="11">
                  <c:v>462.5</c:v>
                </c:pt>
                <c:pt idx="12">
                  <c:v>500</c:v>
                </c:pt>
                <c:pt idx="13">
                  <c:v>1250</c:v>
                </c:pt>
                <c:pt idx="14">
                  <c:v>2000</c:v>
                </c:pt>
                <c:pt idx="15">
                  <c:v>2750</c:v>
                </c:pt>
                <c:pt idx="16">
                  <c:v>3499.998</c:v>
                </c:pt>
                <c:pt idx="17">
                  <c:v>4249.9979999999996</c:v>
                </c:pt>
                <c:pt idx="18">
                  <c:v>4999.9979999999996</c:v>
                </c:pt>
                <c:pt idx="19">
                  <c:v>4826.92</c:v>
                </c:pt>
                <c:pt idx="20">
                  <c:v>4653.8500000000004</c:v>
                </c:pt>
                <c:pt idx="21">
                  <c:v>4480.7690000000002</c:v>
                </c:pt>
                <c:pt idx="22">
                  <c:v>4307.6880000000001</c:v>
                </c:pt>
                <c:pt idx="23">
                  <c:v>4134.6180000000004</c:v>
                </c:pt>
                <c:pt idx="24">
                  <c:v>3961.54</c:v>
                </c:pt>
                <c:pt idx="25">
                  <c:v>3788.4589999999998</c:v>
                </c:pt>
                <c:pt idx="26">
                  <c:v>3615.3890000000001</c:v>
                </c:pt>
                <c:pt idx="27">
                  <c:v>3442.308</c:v>
                </c:pt>
                <c:pt idx="28">
                  <c:v>3269.23</c:v>
                </c:pt>
                <c:pt idx="29">
                  <c:v>3096.1489999999999</c:v>
                </c:pt>
                <c:pt idx="30">
                  <c:v>2923.0790000000002</c:v>
                </c:pt>
                <c:pt idx="31">
                  <c:v>2750</c:v>
                </c:pt>
                <c:pt idx="32">
                  <c:v>2576.9189999999999</c:v>
                </c:pt>
                <c:pt idx="33">
                  <c:v>2403.8490000000002</c:v>
                </c:pt>
                <c:pt idx="34">
                  <c:v>2230.77</c:v>
                </c:pt>
                <c:pt idx="35">
                  <c:v>2057.6889999999999</c:v>
                </c:pt>
                <c:pt idx="36">
                  <c:v>1884.62</c:v>
                </c:pt>
                <c:pt idx="37">
                  <c:v>1711.539</c:v>
                </c:pt>
                <c:pt idx="38">
                  <c:v>1538.46</c:v>
                </c:pt>
                <c:pt idx="39">
                  <c:v>1365.39</c:v>
                </c:pt>
                <c:pt idx="40">
                  <c:v>1192.31</c:v>
                </c:pt>
                <c:pt idx="41">
                  <c:v>1019.23</c:v>
                </c:pt>
                <c:pt idx="42">
                  <c:v>846.15</c:v>
                </c:pt>
                <c:pt idx="43">
                  <c:v>673.08</c:v>
                </c:pt>
                <c:pt idx="44">
                  <c:v>500</c:v>
                </c:pt>
                <c:pt idx="45">
                  <c:v>491.82</c:v>
                </c:pt>
                <c:pt idx="46">
                  <c:v>483.64</c:v>
                </c:pt>
                <c:pt idx="47">
                  <c:v>475.45</c:v>
                </c:pt>
                <c:pt idx="48">
                  <c:v>467.27</c:v>
                </c:pt>
                <c:pt idx="49">
                  <c:v>459.09</c:v>
                </c:pt>
                <c:pt idx="50">
                  <c:v>450.91</c:v>
                </c:pt>
                <c:pt idx="51">
                  <c:v>442.73</c:v>
                </c:pt>
                <c:pt idx="52">
                  <c:v>434.55</c:v>
                </c:pt>
                <c:pt idx="53">
                  <c:v>426.36</c:v>
                </c:pt>
                <c:pt idx="54">
                  <c:v>418.18</c:v>
                </c:pt>
                <c:pt idx="55">
                  <c:v>410</c:v>
                </c:pt>
                <c:pt idx="56">
                  <c:v>401.82</c:v>
                </c:pt>
                <c:pt idx="57">
                  <c:v>393.64</c:v>
                </c:pt>
                <c:pt idx="58">
                  <c:v>385.45</c:v>
                </c:pt>
                <c:pt idx="59">
                  <c:v>377.27</c:v>
                </c:pt>
                <c:pt idx="60">
                  <c:v>369.09</c:v>
                </c:pt>
                <c:pt idx="61">
                  <c:v>360.91</c:v>
                </c:pt>
                <c:pt idx="62">
                  <c:v>352.73</c:v>
                </c:pt>
                <c:pt idx="63">
                  <c:v>344.55</c:v>
                </c:pt>
                <c:pt idx="64">
                  <c:v>336.36</c:v>
                </c:pt>
                <c:pt idx="65">
                  <c:v>328.18</c:v>
                </c:pt>
                <c:pt idx="66">
                  <c:v>320</c:v>
                </c:pt>
                <c:pt idx="67">
                  <c:v>311.82</c:v>
                </c:pt>
                <c:pt idx="68">
                  <c:v>303.64</c:v>
                </c:pt>
                <c:pt idx="69">
                  <c:v>295.45</c:v>
                </c:pt>
                <c:pt idx="70">
                  <c:v>287.27</c:v>
                </c:pt>
                <c:pt idx="71">
                  <c:v>279.08999999999997</c:v>
                </c:pt>
                <c:pt idx="72">
                  <c:v>270.91000000000003</c:v>
                </c:pt>
                <c:pt idx="73">
                  <c:v>262.73</c:v>
                </c:pt>
                <c:pt idx="74">
                  <c:v>254.55</c:v>
                </c:pt>
                <c:pt idx="75">
                  <c:v>246.36</c:v>
                </c:pt>
                <c:pt idx="76">
                  <c:v>238.18</c:v>
                </c:pt>
                <c:pt idx="77">
                  <c:v>230</c:v>
                </c:pt>
                <c:pt idx="78">
                  <c:v>221.82</c:v>
                </c:pt>
                <c:pt idx="79">
                  <c:v>213.64</c:v>
                </c:pt>
                <c:pt idx="80">
                  <c:v>205.45</c:v>
                </c:pt>
                <c:pt idx="81">
                  <c:v>197.27</c:v>
                </c:pt>
                <c:pt idx="82">
                  <c:v>189.09</c:v>
                </c:pt>
                <c:pt idx="83">
                  <c:v>180.91</c:v>
                </c:pt>
                <c:pt idx="84">
                  <c:v>172.73</c:v>
                </c:pt>
                <c:pt idx="85">
                  <c:v>164.55</c:v>
                </c:pt>
                <c:pt idx="86">
                  <c:v>156.36000000000001</c:v>
                </c:pt>
                <c:pt idx="87">
                  <c:v>148.18</c:v>
                </c:pt>
                <c:pt idx="88">
                  <c:v>140</c:v>
                </c:pt>
                <c:pt idx="89">
                  <c:v>131.82</c:v>
                </c:pt>
                <c:pt idx="90">
                  <c:v>123.64</c:v>
                </c:pt>
                <c:pt idx="91">
                  <c:v>115.45</c:v>
                </c:pt>
                <c:pt idx="92">
                  <c:v>107.27</c:v>
                </c:pt>
                <c:pt idx="93">
                  <c:v>99.09</c:v>
                </c:pt>
                <c:pt idx="94">
                  <c:v>90.91</c:v>
                </c:pt>
                <c:pt idx="95">
                  <c:v>82.73</c:v>
                </c:pt>
                <c:pt idx="96">
                  <c:v>74.55</c:v>
                </c:pt>
                <c:pt idx="97">
                  <c:v>66.36</c:v>
                </c:pt>
                <c:pt idx="98">
                  <c:v>58.18</c:v>
                </c:pt>
                <c:pt idx="99">
                  <c:v>50</c:v>
                </c:pt>
              </c:numCache>
            </c:numRef>
          </c:xVal>
          <c:yVal>
            <c:numRef>
              <c:f>'Concentration Calibration'!$C$4:$C$1003</c:f>
              <c:numCache>
                <c:formatCode>General</c:formatCode>
                <c:ptCount val="1000"/>
                <c:pt idx="0">
                  <c:v>50.127000000000002</c:v>
                </c:pt>
                <c:pt idx="1">
                  <c:v>64.626999999999995</c:v>
                </c:pt>
                <c:pt idx="2">
                  <c:v>84.652000000000001</c:v>
                </c:pt>
                <c:pt idx="3">
                  <c:v>75.858000000000004</c:v>
                </c:pt>
                <c:pt idx="4">
                  <c:v>90.724999999999994</c:v>
                </c:pt>
                <c:pt idx="5">
                  <c:v>130.76300000000001</c:v>
                </c:pt>
                <c:pt idx="6">
                  <c:v>144.47900000000001</c:v>
                </c:pt>
                <c:pt idx="7">
                  <c:v>172.92500000000001</c:v>
                </c:pt>
                <c:pt idx="8">
                  <c:v>179.33600000000001</c:v>
                </c:pt>
                <c:pt idx="9">
                  <c:v>184.92599999999999</c:v>
                </c:pt>
                <c:pt idx="10">
                  <c:v>188.39699999999999</c:v>
                </c:pt>
                <c:pt idx="11">
                  <c:v>193.33</c:v>
                </c:pt>
                <c:pt idx="12">
                  <c:v>200.071</c:v>
                </c:pt>
                <c:pt idx="13">
                  <c:v>347.23500000000001</c:v>
                </c:pt>
                <c:pt idx="14">
                  <c:v>508.75900000000001</c:v>
                </c:pt>
                <c:pt idx="15">
                  <c:v>625.41899999999998</c:v>
                </c:pt>
                <c:pt idx="16">
                  <c:v>722.75</c:v>
                </c:pt>
                <c:pt idx="17">
                  <c:v>850.66200000000003</c:v>
                </c:pt>
                <c:pt idx="18">
                  <c:v>960.75900000000001</c:v>
                </c:pt>
                <c:pt idx="19">
                  <c:v>1013.975</c:v>
                </c:pt>
                <c:pt idx="20">
                  <c:v>1027.857</c:v>
                </c:pt>
                <c:pt idx="21">
                  <c:v>1029.979</c:v>
                </c:pt>
                <c:pt idx="22">
                  <c:v>1005.239</c:v>
                </c:pt>
                <c:pt idx="23">
                  <c:v>969.58299999999997</c:v>
                </c:pt>
                <c:pt idx="24">
                  <c:v>937.33100000000002</c:v>
                </c:pt>
                <c:pt idx="25">
                  <c:v>908.36400000000003</c:v>
                </c:pt>
                <c:pt idx="26">
                  <c:v>885.46199999999999</c:v>
                </c:pt>
                <c:pt idx="27">
                  <c:v>863.71</c:v>
                </c:pt>
                <c:pt idx="28">
                  <c:v>837.42200000000003</c:v>
                </c:pt>
                <c:pt idx="29">
                  <c:v>812.21699999999998</c:v>
                </c:pt>
                <c:pt idx="30">
                  <c:v>785.60699999999997</c:v>
                </c:pt>
                <c:pt idx="31">
                  <c:v>758.04700000000003</c:v>
                </c:pt>
                <c:pt idx="32">
                  <c:v>725.00900000000001</c:v>
                </c:pt>
                <c:pt idx="33">
                  <c:v>690.41700000000003</c:v>
                </c:pt>
                <c:pt idx="34">
                  <c:v>652.13</c:v>
                </c:pt>
                <c:pt idx="35">
                  <c:v>609.85699999999997</c:v>
                </c:pt>
                <c:pt idx="36">
                  <c:v>565.14499999999998</c:v>
                </c:pt>
                <c:pt idx="37">
                  <c:v>519.18799999999999</c:v>
                </c:pt>
                <c:pt idx="38">
                  <c:v>475.31400000000002</c:v>
                </c:pt>
                <c:pt idx="39">
                  <c:v>434.11200000000002</c:v>
                </c:pt>
                <c:pt idx="40">
                  <c:v>393.56</c:v>
                </c:pt>
                <c:pt idx="41">
                  <c:v>357.887</c:v>
                </c:pt>
                <c:pt idx="42">
                  <c:v>325.57600000000002</c:v>
                </c:pt>
                <c:pt idx="43">
                  <c:v>285.983</c:v>
                </c:pt>
                <c:pt idx="44">
                  <c:v>246.22200000000001</c:v>
                </c:pt>
                <c:pt idx="45">
                  <c:v>235.14</c:v>
                </c:pt>
                <c:pt idx="46">
                  <c:v>224.655</c:v>
                </c:pt>
                <c:pt idx="47">
                  <c:v>218.7</c:v>
                </c:pt>
                <c:pt idx="48">
                  <c:v>214.79599999999999</c:v>
                </c:pt>
                <c:pt idx="49">
                  <c:v>212.57400000000001</c:v>
                </c:pt>
                <c:pt idx="50">
                  <c:v>209.53800000000001</c:v>
                </c:pt>
                <c:pt idx="51">
                  <c:v>207.86699999999999</c:v>
                </c:pt>
                <c:pt idx="52">
                  <c:v>205.577</c:v>
                </c:pt>
                <c:pt idx="53">
                  <c:v>202.714</c:v>
                </c:pt>
                <c:pt idx="54">
                  <c:v>200.608</c:v>
                </c:pt>
                <c:pt idx="55">
                  <c:v>196.95400000000001</c:v>
                </c:pt>
                <c:pt idx="56">
                  <c:v>194</c:v>
                </c:pt>
                <c:pt idx="57">
                  <c:v>190.33500000000001</c:v>
                </c:pt>
                <c:pt idx="58">
                  <c:v>186.11799999999999</c:v>
                </c:pt>
                <c:pt idx="59">
                  <c:v>182.91300000000001</c:v>
                </c:pt>
                <c:pt idx="60">
                  <c:v>179.38800000000001</c:v>
                </c:pt>
                <c:pt idx="61">
                  <c:v>175.887</c:v>
                </c:pt>
                <c:pt idx="62">
                  <c:v>171.654</c:v>
                </c:pt>
                <c:pt idx="63">
                  <c:v>168.18</c:v>
                </c:pt>
                <c:pt idx="64">
                  <c:v>164.90799999999999</c:v>
                </c:pt>
                <c:pt idx="65">
                  <c:v>161.81</c:v>
                </c:pt>
                <c:pt idx="66">
                  <c:v>159.458</c:v>
                </c:pt>
                <c:pt idx="67">
                  <c:v>156.19300000000001</c:v>
                </c:pt>
                <c:pt idx="68">
                  <c:v>152.953</c:v>
                </c:pt>
                <c:pt idx="69">
                  <c:v>164.41399999999999</c:v>
                </c:pt>
                <c:pt idx="70">
                  <c:v>155.036</c:v>
                </c:pt>
                <c:pt idx="71">
                  <c:v>151.21299999999999</c:v>
                </c:pt>
                <c:pt idx="72">
                  <c:v>156.57900000000001</c:v>
                </c:pt>
                <c:pt idx="73">
                  <c:v>167.96899999999999</c:v>
                </c:pt>
                <c:pt idx="74">
                  <c:v>144.12200000000001</c:v>
                </c:pt>
                <c:pt idx="75">
                  <c:v>161.99</c:v>
                </c:pt>
                <c:pt idx="76">
                  <c:v>143.12100000000001</c:v>
                </c:pt>
                <c:pt idx="77">
                  <c:v>118.776</c:v>
                </c:pt>
                <c:pt idx="78">
                  <c:v>133.172</c:v>
                </c:pt>
                <c:pt idx="79">
                  <c:v>117.572</c:v>
                </c:pt>
                <c:pt idx="80">
                  <c:v>119.803</c:v>
                </c:pt>
                <c:pt idx="81">
                  <c:v>116.943</c:v>
                </c:pt>
                <c:pt idx="82">
                  <c:v>104.63500000000001</c:v>
                </c:pt>
                <c:pt idx="83">
                  <c:v>110.399</c:v>
                </c:pt>
                <c:pt idx="84">
                  <c:v>105.194</c:v>
                </c:pt>
                <c:pt idx="85">
                  <c:v>110.51</c:v>
                </c:pt>
                <c:pt idx="86">
                  <c:v>97.727000000000004</c:v>
                </c:pt>
                <c:pt idx="87">
                  <c:v>148.55199999999999</c:v>
                </c:pt>
                <c:pt idx="88">
                  <c:v>114.229</c:v>
                </c:pt>
                <c:pt idx="89">
                  <c:v>101.75</c:v>
                </c:pt>
                <c:pt idx="90">
                  <c:v>94.314999999999998</c:v>
                </c:pt>
                <c:pt idx="91">
                  <c:v>111.291</c:v>
                </c:pt>
                <c:pt idx="92">
                  <c:v>103.045</c:v>
                </c:pt>
                <c:pt idx="93">
                  <c:v>106.241</c:v>
                </c:pt>
                <c:pt idx="94">
                  <c:v>105.509</c:v>
                </c:pt>
                <c:pt idx="95">
                  <c:v>91.795000000000002</c:v>
                </c:pt>
                <c:pt idx="96">
                  <c:v>84.325999999999993</c:v>
                </c:pt>
                <c:pt idx="97">
                  <c:v>76.716999999999999</c:v>
                </c:pt>
                <c:pt idx="98">
                  <c:v>72.972999999999999</c:v>
                </c:pt>
                <c:pt idx="99">
                  <c:v>63.484000000000002</c:v>
                </c:pt>
              </c:numCache>
            </c:numRef>
          </c:yVal>
          <c:smooth val="0"/>
        </c:ser>
        <c:ser>
          <c:idx val="1"/>
          <c:order val="1"/>
          <c:tx>
            <c:v>Observed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'Concentration Calibration'!$L$4:$L$20</c:f>
              <c:numCache>
                <c:formatCode>General</c:formatCode>
                <c:ptCount val="17"/>
                <c:pt idx="0">
                  <c:v>30</c:v>
                </c:pt>
                <c:pt idx="1">
                  <c:v>35</c:v>
                </c:pt>
                <c:pt idx="2">
                  <c:v>55</c:v>
                </c:pt>
                <c:pt idx="3">
                  <c:v>60</c:v>
                </c:pt>
                <c:pt idx="4">
                  <c:v>60</c:v>
                </c:pt>
                <c:pt idx="5">
                  <c:v>70</c:v>
                </c:pt>
                <c:pt idx="6">
                  <c:v>90</c:v>
                </c:pt>
                <c:pt idx="7">
                  <c:v>100</c:v>
                </c:pt>
                <c:pt idx="8">
                  <c:v>120</c:v>
                </c:pt>
                <c:pt idx="9">
                  <c:v>220</c:v>
                </c:pt>
                <c:pt idx="10">
                  <c:v>390</c:v>
                </c:pt>
                <c:pt idx="11">
                  <c:v>400</c:v>
                </c:pt>
                <c:pt idx="12">
                  <c:v>670</c:v>
                </c:pt>
                <c:pt idx="13">
                  <c:v>1200</c:v>
                </c:pt>
                <c:pt idx="14">
                  <c:v>2400</c:v>
                </c:pt>
                <c:pt idx="15">
                  <c:v>2600</c:v>
                </c:pt>
                <c:pt idx="16">
                  <c:v>3300</c:v>
                </c:pt>
              </c:numCache>
            </c:numRef>
          </c:xVal>
          <c:yVal>
            <c:numRef>
              <c:f>'Concentration Calibration'!$M$4:$M$20</c:f>
              <c:numCache>
                <c:formatCode>General</c:formatCode>
                <c:ptCount val="17"/>
                <c:pt idx="0">
                  <c:v>30</c:v>
                </c:pt>
                <c:pt idx="1">
                  <c:v>30</c:v>
                </c:pt>
                <c:pt idx="2">
                  <c:v>45</c:v>
                </c:pt>
                <c:pt idx="3">
                  <c:v>40</c:v>
                </c:pt>
                <c:pt idx="4">
                  <c:v>35</c:v>
                </c:pt>
                <c:pt idx="5">
                  <c:v>50</c:v>
                </c:pt>
                <c:pt idx="6">
                  <c:v>75</c:v>
                </c:pt>
                <c:pt idx="7">
                  <c:v>45</c:v>
                </c:pt>
                <c:pt idx="8">
                  <c:v>90</c:v>
                </c:pt>
                <c:pt idx="9">
                  <c:v>85</c:v>
                </c:pt>
                <c:pt idx="10">
                  <c:v>85</c:v>
                </c:pt>
                <c:pt idx="11">
                  <c:v>130</c:v>
                </c:pt>
                <c:pt idx="12">
                  <c:v>250</c:v>
                </c:pt>
                <c:pt idx="13">
                  <c:v>200</c:v>
                </c:pt>
                <c:pt idx="14">
                  <c:v>300</c:v>
                </c:pt>
                <c:pt idx="15">
                  <c:v>250</c:v>
                </c:pt>
                <c:pt idx="16">
                  <c:v>310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820288"/>
        <c:axId val="464819112"/>
      </c:scatterChart>
      <c:valAx>
        <c:axId val="464820288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Flow (m</a:t>
                </a:r>
                <a:r>
                  <a:rPr lang="en-US" sz="1600" baseline="30000"/>
                  <a:t>3</a:t>
                </a:r>
                <a:r>
                  <a:rPr lang="en-US" sz="1600"/>
                  <a:t>/s)</a:t>
                </a:r>
              </a:p>
            </c:rich>
          </c:tx>
          <c:layout>
            <c:manualLayout>
              <c:xMode val="edge"/>
              <c:yMode val="edge"/>
              <c:x val="0.40918657042869644"/>
              <c:y val="0.915736337793238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819112"/>
        <c:crosses val="autoZero"/>
        <c:crossBetween val="midCat"/>
      </c:valAx>
      <c:valAx>
        <c:axId val="464819112"/>
        <c:scaling>
          <c:logBase val="10"/>
          <c:orientation val="minMax"/>
          <c:max val="20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Sediment</a:t>
                </a:r>
                <a:r>
                  <a:rPr lang="en-US" sz="1600" baseline="0"/>
                  <a:t> Concentration (mg/L)</a:t>
                </a:r>
                <a:endParaRPr lang="en-US" sz="1600"/>
              </a:p>
            </c:rich>
          </c:tx>
          <c:layout>
            <c:manualLayout>
              <c:xMode val="edge"/>
              <c:yMode val="edge"/>
              <c:x val="9.9166666666666674E-3"/>
              <c:y val="8.640786791857731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820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22412510936133"/>
          <c:y val="4.3815007555225591E-2"/>
          <c:w val="0.75848797025371828"/>
          <c:h val="0.7994262092557477"/>
        </c:manualLayout>
      </c:layout>
      <c:scatterChart>
        <c:scatterStyle val="lineMarker"/>
        <c:varyColors val="0"/>
        <c:ser>
          <c:idx val="0"/>
          <c:order val="0"/>
          <c:tx>
            <c:v>Simulated</c:v>
          </c:tx>
          <c:spPr>
            <a:ln w="19050" cap="rnd">
              <a:solidFill>
                <a:srgbClr val="6633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rgbClr val="47281F"/>
                </a:solidFill>
              </a:ln>
              <a:effectLst/>
            </c:spPr>
          </c:marker>
          <c:xVal>
            <c:numRef>
              <c:f>'Concentration Calibration'!$B$4:$B$1003</c:f>
              <c:numCache>
                <c:formatCode>General</c:formatCode>
                <c:ptCount val="1000"/>
                <c:pt idx="0">
                  <c:v>50</c:v>
                </c:pt>
                <c:pt idx="1">
                  <c:v>87.5</c:v>
                </c:pt>
                <c:pt idx="2">
                  <c:v>125</c:v>
                </c:pt>
                <c:pt idx="3">
                  <c:v>162.5</c:v>
                </c:pt>
                <c:pt idx="4">
                  <c:v>200</c:v>
                </c:pt>
                <c:pt idx="5">
                  <c:v>237.5</c:v>
                </c:pt>
                <c:pt idx="6">
                  <c:v>275</c:v>
                </c:pt>
                <c:pt idx="7">
                  <c:v>312.5</c:v>
                </c:pt>
                <c:pt idx="8">
                  <c:v>350</c:v>
                </c:pt>
                <c:pt idx="9">
                  <c:v>387.5</c:v>
                </c:pt>
                <c:pt idx="10">
                  <c:v>425</c:v>
                </c:pt>
                <c:pt idx="11">
                  <c:v>462.5</c:v>
                </c:pt>
                <c:pt idx="12">
                  <c:v>500</c:v>
                </c:pt>
                <c:pt idx="13">
                  <c:v>1250</c:v>
                </c:pt>
                <c:pt idx="14">
                  <c:v>2000</c:v>
                </c:pt>
                <c:pt idx="15">
                  <c:v>2750</c:v>
                </c:pt>
                <c:pt idx="16">
                  <c:v>3499.998</c:v>
                </c:pt>
                <c:pt idx="17">
                  <c:v>4249.9979999999996</c:v>
                </c:pt>
                <c:pt idx="18">
                  <c:v>4999.9979999999996</c:v>
                </c:pt>
                <c:pt idx="19">
                  <c:v>4826.92</c:v>
                </c:pt>
                <c:pt idx="20">
                  <c:v>4653.8500000000004</c:v>
                </c:pt>
                <c:pt idx="21">
                  <c:v>4480.7690000000002</c:v>
                </c:pt>
                <c:pt idx="22">
                  <c:v>4307.6880000000001</c:v>
                </c:pt>
                <c:pt idx="23">
                  <c:v>4134.6180000000004</c:v>
                </c:pt>
                <c:pt idx="24">
                  <c:v>3961.54</c:v>
                </c:pt>
                <c:pt idx="25">
                  <c:v>3788.4589999999998</c:v>
                </c:pt>
                <c:pt idx="26">
                  <c:v>3615.3890000000001</c:v>
                </c:pt>
                <c:pt idx="27">
                  <c:v>3442.308</c:v>
                </c:pt>
                <c:pt idx="28">
                  <c:v>3269.23</c:v>
                </c:pt>
                <c:pt idx="29">
                  <c:v>3096.1489999999999</c:v>
                </c:pt>
                <c:pt idx="30">
                  <c:v>2923.0790000000002</c:v>
                </c:pt>
                <c:pt idx="31">
                  <c:v>2750</c:v>
                </c:pt>
                <c:pt idx="32">
                  <c:v>2576.9189999999999</c:v>
                </c:pt>
                <c:pt idx="33">
                  <c:v>2403.8490000000002</c:v>
                </c:pt>
                <c:pt idx="34">
                  <c:v>2230.77</c:v>
                </c:pt>
                <c:pt idx="35">
                  <c:v>2057.6889999999999</c:v>
                </c:pt>
                <c:pt idx="36">
                  <c:v>1884.62</c:v>
                </c:pt>
                <c:pt idx="37">
                  <c:v>1711.539</c:v>
                </c:pt>
                <c:pt idx="38">
                  <c:v>1538.46</c:v>
                </c:pt>
                <c:pt idx="39">
                  <c:v>1365.39</c:v>
                </c:pt>
                <c:pt idx="40">
                  <c:v>1192.31</c:v>
                </c:pt>
                <c:pt idx="41">
                  <c:v>1019.23</c:v>
                </c:pt>
                <c:pt idx="42">
                  <c:v>846.15</c:v>
                </c:pt>
                <c:pt idx="43">
                  <c:v>673.08</c:v>
                </c:pt>
                <c:pt idx="44">
                  <c:v>500</c:v>
                </c:pt>
                <c:pt idx="45">
                  <c:v>491.82</c:v>
                </c:pt>
                <c:pt idx="46">
                  <c:v>483.64</c:v>
                </c:pt>
                <c:pt idx="47">
                  <c:v>475.45</c:v>
                </c:pt>
                <c:pt idx="48">
                  <c:v>467.27</c:v>
                </c:pt>
                <c:pt idx="49">
                  <c:v>459.09</c:v>
                </c:pt>
                <c:pt idx="50">
                  <c:v>450.91</c:v>
                </c:pt>
                <c:pt idx="51">
                  <c:v>442.73</c:v>
                </c:pt>
                <c:pt idx="52">
                  <c:v>434.55</c:v>
                </c:pt>
                <c:pt idx="53">
                  <c:v>426.36</c:v>
                </c:pt>
                <c:pt idx="54">
                  <c:v>418.18</c:v>
                </c:pt>
                <c:pt idx="55">
                  <c:v>410</c:v>
                </c:pt>
                <c:pt idx="56">
                  <c:v>401.82</c:v>
                </c:pt>
                <c:pt idx="57">
                  <c:v>393.64</c:v>
                </c:pt>
                <c:pt idx="58">
                  <c:v>385.45</c:v>
                </c:pt>
                <c:pt idx="59">
                  <c:v>377.27</c:v>
                </c:pt>
                <c:pt idx="60">
                  <c:v>369.09</c:v>
                </c:pt>
                <c:pt idx="61">
                  <c:v>360.91</c:v>
                </c:pt>
                <c:pt idx="62">
                  <c:v>352.73</c:v>
                </c:pt>
                <c:pt idx="63">
                  <c:v>344.55</c:v>
                </c:pt>
                <c:pt idx="64">
                  <c:v>336.36</c:v>
                </c:pt>
                <c:pt idx="65">
                  <c:v>328.18</c:v>
                </c:pt>
                <c:pt idx="66">
                  <c:v>320</c:v>
                </c:pt>
                <c:pt idx="67">
                  <c:v>311.82</c:v>
                </c:pt>
                <c:pt idx="68">
                  <c:v>303.64</c:v>
                </c:pt>
                <c:pt idx="69">
                  <c:v>295.45</c:v>
                </c:pt>
                <c:pt idx="70">
                  <c:v>287.27</c:v>
                </c:pt>
                <c:pt idx="71">
                  <c:v>279.08999999999997</c:v>
                </c:pt>
                <c:pt idx="72">
                  <c:v>270.91000000000003</c:v>
                </c:pt>
                <c:pt idx="73">
                  <c:v>262.73</c:v>
                </c:pt>
                <c:pt idx="74">
                  <c:v>254.55</c:v>
                </c:pt>
                <c:pt idx="75">
                  <c:v>246.36</c:v>
                </c:pt>
                <c:pt idx="76">
                  <c:v>238.18</c:v>
                </c:pt>
                <c:pt idx="77">
                  <c:v>230</c:v>
                </c:pt>
                <c:pt idx="78">
                  <c:v>221.82</c:v>
                </c:pt>
                <c:pt idx="79">
                  <c:v>213.64</c:v>
                </c:pt>
                <c:pt idx="80">
                  <c:v>205.45</c:v>
                </c:pt>
                <c:pt idx="81">
                  <c:v>197.27</c:v>
                </c:pt>
                <c:pt idx="82">
                  <c:v>189.09</c:v>
                </c:pt>
                <c:pt idx="83">
                  <c:v>180.91</c:v>
                </c:pt>
                <c:pt idx="84">
                  <c:v>172.73</c:v>
                </c:pt>
                <c:pt idx="85">
                  <c:v>164.55</c:v>
                </c:pt>
                <c:pt idx="86">
                  <c:v>156.36000000000001</c:v>
                </c:pt>
                <c:pt idx="87">
                  <c:v>148.18</c:v>
                </c:pt>
                <c:pt idx="88">
                  <c:v>140</c:v>
                </c:pt>
                <c:pt idx="89">
                  <c:v>131.82</c:v>
                </c:pt>
                <c:pt idx="90">
                  <c:v>123.64</c:v>
                </c:pt>
                <c:pt idx="91">
                  <c:v>115.45</c:v>
                </c:pt>
                <c:pt idx="92">
                  <c:v>107.27</c:v>
                </c:pt>
                <c:pt idx="93">
                  <c:v>99.09</c:v>
                </c:pt>
                <c:pt idx="94">
                  <c:v>90.91</c:v>
                </c:pt>
                <c:pt idx="95">
                  <c:v>82.73</c:v>
                </c:pt>
                <c:pt idx="96">
                  <c:v>74.55</c:v>
                </c:pt>
                <c:pt idx="97">
                  <c:v>66.36</c:v>
                </c:pt>
                <c:pt idx="98">
                  <c:v>58.18</c:v>
                </c:pt>
                <c:pt idx="99">
                  <c:v>50</c:v>
                </c:pt>
              </c:numCache>
            </c:numRef>
          </c:xVal>
          <c:yVal>
            <c:numRef>
              <c:f>'Concentration Calibration'!$C$4:$C$1003</c:f>
              <c:numCache>
                <c:formatCode>General</c:formatCode>
                <c:ptCount val="1000"/>
                <c:pt idx="0">
                  <c:v>50.127000000000002</c:v>
                </c:pt>
                <c:pt idx="1">
                  <c:v>64.626999999999995</c:v>
                </c:pt>
                <c:pt idx="2">
                  <c:v>84.652000000000001</c:v>
                </c:pt>
                <c:pt idx="3">
                  <c:v>75.858000000000004</c:v>
                </c:pt>
                <c:pt idx="4">
                  <c:v>90.724999999999994</c:v>
                </c:pt>
                <c:pt idx="5">
                  <c:v>130.76300000000001</c:v>
                </c:pt>
                <c:pt idx="6">
                  <c:v>144.47900000000001</c:v>
                </c:pt>
                <c:pt idx="7">
                  <c:v>172.92500000000001</c:v>
                </c:pt>
                <c:pt idx="8">
                  <c:v>179.33600000000001</c:v>
                </c:pt>
                <c:pt idx="9">
                  <c:v>184.92599999999999</c:v>
                </c:pt>
                <c:pt idx="10">
                  <c:v>188.39699999999999</c:v>
                </c:pt>
                <c:pt idx="11">
                  <c:v>193.33</c:v>
                </c:pt>
                <c:pt idx="12">
                  <c:v>200.071</c:v>
                </c:pt>
                <c:pt idx="13">
                  <c:v>347.23500000000001</c:v>
                </c:pt>
                <c:pt idx="14">
                  <c:v>508.75900000000001</c:v>
                </c:pt>
                <c:pt idx="15">
                  <c:v>625.41899999999998</c:v>
                </c:pt>
                <c:pt idx="16">
                  <c:v>722.75</c:v>
                </c:pt>
                <c:pt idx="17">
                  <c:v>850.66200000000003</c:v>
                </c:pt>
                <c:pt idx="18">
                  <c:v>960.75900000000001</c:v>
                </c:pt>
                <c:pt idx="19">
                  <c:v>1013.975</c:v>
                </c:pt>
                <c:pt idx="20">
                  <c:v>1027.857</c:v>
                </c:pt>
                <c:pt idx="21">
                  <c:v>1029.979</c:v>
                </c:pt>
                <c:pt idx="22">
                  <c:v>1005.239</c:v>
                </c:pt>
                <c:pt idx="23">
                  <c:v>969.58299999999997</c:v>
                </c:pt>
                <c:pt idx="24">
                  <c:v>937.33100000000002</c:v>
                </c:pt>
                <c:pt idx="25">
                  <c:v>908.36400000000003</c:v>
                </c:pt>
                <c:pt idx="26">
                  <c:v>885.46199999999999</c:v>
                </c:pt>
                <c:pt idx="27">
                  <c:v>863.71</c:v>
                </c:pt>
                <c:pt idx="28">
                  <c:v>837.42200000000003</c:v>
                </c:pt>
                <c:pt idx="29">
                  <c:v>812.21699999999998</c:v>
                </c:pt>
                <c:pt idx="30">
                  <c:v>785.60699999999997</c:v>
                </c:pt>
                <c:pt idx="31">
                  <c:v>758.04700000000003</c:v>
                </c:pt>
                <c:pt idx="32">
                  <c:v>725.00900000000001</c:v>
                </c:pt>
                <c:pt idx="33">
                  <c:v>690.41700000000003</c:v>
                </c:pt>
                <c:pt idx="34">
                  <c:v>652.13</c:v>
                </c:pt>
                <c:pt idx="35">
                  <c:v>609.85699999999997</c:v>
                </c:pt>
                <c:pt idx="36">
                  <c:v>565.14499999999998</c:v>
                </c:pt>
                <c:pt idx="37">
                  <c:v>519.18799999999999</c:v>
                </c:pt>
                <c:pt idx="38">
                  <c:v>475.31400000000002</c:v>
                </c:pt>
                <c:pt idx="39">
                  <c:v>434.11200000000002</c:v>
                </c:pt>
                <c:pt idx="40">
                  <c:v>393.56</c:v>
                </c:pt>
                <c:pt idx="41">
                  <c:v>357.887</c:v>
                </c:pt>
                <c:pt idx="42">
                  <c:v>325.57600000000002</c:v>
                </c:pt>
                <c:pt idx="43">
                  <c:v>285.983</c:v>
                </c:pt>
                <c:pt idx="44">
                  <c:v>246.22200000000001</c:v>
                </c:pt>
                <c:pt idx="45">
                  <c:v>235.14</c:v>
                </c:pt>
                <c:pt idx="46">
                  <c:v>224.655</c:v>
                </c:pt>
                <c:pt idx="47">
                  <c:v>218.7</c:v>
                </c:pt>
                <c:pt idx="48">
                  <c:v>214.79599999999999</c:v>
                </c:pt>
                <c:pt idx="49">
                  <c:v>212.57400000000001</c:v>
                </c:pt>
                <c:pt idx="50">
                  <c:v>209.53800000000001</c:v>
                </c:pt>
                <c:pt idx="51">
                  <c:v>207.86699999999999</c:v>
                </c:pt>
                <c:pt idx="52">
                  <c:v>205.577</c:v>
                </c:pt>
                <c:pt idx="53">
                  <c:v>202.714</c:v>
                </c:pt>
                <c:pt idx="54">
                  <c:v>200.608</c:v>
                </c:pt>
                <c:pt idx="55">
                  <c:v>196.95400000000001</c:v>
                </c:pt>
                <c:pt idx="56">
                  <c:v>194</c:v>
                </c:pt>
                <c:pt idx="57">
                  <c:v>190.33500000000001</c:v>
                </c:pt>
                <c:pt idx="58">
                  <c:v>186.11799999999999</c:v>
                </c:pt>
                <c:pt idx="59">
                  <c:v>182.91300000000001</c:v>
                </c:pt>
                <c:pt idx="60">
                  <c:v>179.38800000000001</c:v>
                </c:pt>
                <c:pt idx="61">
                  <c:v>175.887</c:v>
                </c:pt>
                <c:pt idx="62">
                  <c:v>171.654</c:v>
                </c:pt>
                <c:pt idx="63">
                  <c:v>168.18</c:v>
                </c:pt>
                <c:pt idx="64">
                  <c:v>164.90799999999999</c:v>
                </c:pt>
                <c:pt idx="65">
                  <c:v>161.81</c:v>
                </c:pt>
                <c:pt idx="66">
                  <c:v>159.458</c:v>
                </c:pt>
                <c:pt idx="67">
                  <c:v>156.19300000000001</c:v>
                </c:pt>
                <c:pt idx="68">
                  <c:v>152.953</c:v>
                </c:pt>
                <c:pt idx="69">
                  <c:v>164.41399999999999</c:v>
                </c:pt>
                <c:pt idx="70">
                  <c:v>155.036</c:v>
                </c:pt>
                <c:pt idx="71">
                  <c:v>151.21299999999999</c:v>
                </c:pt>
                <c:pt idx="72">
                  <c:v>156.57900000000001</c:v>
                </c:pt>
                <c:pt idx="73">
                  <c:v>167.96899999999999</c:v>
                </c:pt>
                <c:pt idx="74">
                  <c:v>144.12200000000001</c:v>
                </c:pt>
                <c:pt idx="75">
                  <c:v>161.99</c:v>
                </c:pt>
                <c:pt idx="76">
                  <c:v>143.12100000000001</c:v>
                </c:pt>
                <c:pt idx="77">
                  <c:v>118.776</c:v>
                </c:pt>
                <c:pt idx="78">
                  <c:v>133.172</c:v>
                </c:pt>
                <c:pt idx="79">
                  <c:v>117.572</c:v>
                </c:pt>
                <c:pt idx="80">
                  <c:v>119.803</c:v>
                </c:pt>
                <c:pt idx="81">
                  <c:v>116.943</c:v>
                </c:pt>
                <c:pt idx="82">
                  <c:v>104.63500000000001</c:v>
                </c:pt>
                <c:pt idx="83">
                  <c:v>110.399</c:v>
                </c:pt>
                <c:pt idx="84">
                  <c:v>105.194</c:v>
                </c:pt>
                <c:pt idx="85">
                  <c:v>110.51</c:v>
                </c:pt>
                <c:pt idx="86">
                  <c:v>97.727000000000004</c:v>
                </c:pt>
                <c:pt idx="87">
                  <c:v>148.55199999999999</c:v>
                </c:pt>
                <c:pt idx="88">
                  <c:v>114.229</c:v>
                </c:pt>
                <c:pt idx="89">
                  <c:v>101.75</c:v>
                </c:pt>
                <c:pt idx="90">
                  <c:v>94.314999999999998</c:v>
                </c:pt>
                <c:pt idx="91">
                  <c:v>111.291</c:v>
                </c:pt>
                <c:pt idx="92">
                  <c:v>103.045</c:v>
                </c:pt>
                <c:pt idx="93">
                  <c:v>106.241</c:v>
                </c:pt>
                <c:pt idx="94">
                  <c:v>105.509</c:v>
                </c:pt>
                <c:pt idx="95">
                  <c:v>91.795000000000002</c:v>
                </c:pt>
                <c:pt idx="96">
                  <c:v>84.325999999999993</c:v>
                </c:pt>
                <c:pt idx="97">
                  <c:v>76.716999999999999</c:v>
                </c:pt>
                <c:pt idx="98">
                  <c:v>72.972999999999999</c:v>
                </c:pt>
                <c:pt idx="99">
                  <c:v>63.484000000000002</c:v>
                </c:pt>
              </c:numCache>
            </c:numRef>
          </c:yVal>
          <c:smooth val="0"/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'Concentration Calibration'!$L$4:$L$19</c:f>
              <c:numCache>
                <c:formatCode>General</c:formatCode>
                <c:ptCount val="16"/>
                <c:pt idx="0">
                  <c:v>30</c:v>
                </c:pt>
                <c:pt idx="1">
                  <c:v>35</c:v>
                </c:pt>
                <c:pt idx="2">
                  <c:v>55</c:v>
                </c:pt>
                <c:pt idx="3">
                  <c:v>60</c:v>
                </c:pt>
                <c:pt idx="4">
                  <c:v>60</c:v>
                </c:pt>
                <c:pt idx="5">
                  <c:v>70</c:v>
                </c:pt>
                <c:pt idx="6">
                  <c:v>90</c:v>
                </c:pt>
                <c:pt idx="7">
                  <c:v>100</c:v>
                </c:pt>
                <c:pt idx="8">
                  <c:v>120</c:v>
                </c:pt>
                <c:pt idx="9">
                  <c:v>220</c:v>
                </c:pt>
                <c:pt idx="10">
                  <c:v>390</c:v>
                </c:pt>
                <c:pt idx="11">
                  <c:v>400</c:v>
                </c:pt>
                <c:pt idx="12">
                  <c:v>670</c:v>
                </c:pt>
                <c:pt idx="13">
                  <c:v>1200</c:v>
                </c:pt>
                <c:pt idx="14">
                  <c:v>2400</c:v>
                </c:pt>
                <c:pt idx="15">
                  <c:v>2600</c:v>
                </c:pt>
              </c:numCache>
            </c:numRef>
          </c:xVal>
          <c:yVal>
            <c:numRef>
              <c:f>'Concentration Calibration'!$M$4:$M$19</c:f>
              <c:numCache>
                <c:formatCode>General</c:formatCode>
                <c:ptCount val="16"/>
                <c:pt idx="0">
                  <c:v>30</c:v>
                </c:pt>
                <c:pt idx="1">
                  <c:v>30</c:v>
                </c:pt>
                <c:pt idx="2">
                  <c:v>45</c:v>
                </c:pt>
                <c:pt idx="3">
                  <c:v>40</c:v>
                </c:pt>
                <c:pt idx="4">
                  <c:v>35</c:v>
                </c:pt>
                <c:pt idx="5">
                  <c:v>50</c:v>
                </c:pt>
                <c:pt idx="6">
                  <c:v>75</c:v>
                </c:pt>
                <c:pt idx="7">
                  <c:v>45</c:v>
                </c:pt>
                <c:pt idx="8">
                  <c:v>90</c:v>
                </c:pt>
                <c:pt idx="9">
                  <c:v>85</c:v>
                </c:pt>
                <c:pt idx="10">
                  <c:v>85</c:v>
                </c:pt>
                <c:pt idx="11">
                  <c:v>130</c:v>
                </c:pt>
                <c:pt idx="12">
                  <c:v>250</c:v>
                </c:pt>
                <c:pt idx="13">
                  <c:v>200</c:v>
                </c:pt>
                <c:pt idx="14">
                  <c:v>300</c:v>
                </c:pt>
                <c:pt idx="15">
                  <c:v>250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338424"/>
        <c:axId val="470339992"/>
      </c:scatterChart>
      <c:valAx>
        <c:axId val="470338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Flow (m</a:t>
                </a:r>
                <a:r>
                  <a:rPr lang="en-US" sz="1600" baseline="30000"/>
                  <a:t>3</a:t>
                </a:r>
                <a:r>
                  <a:rPr lang="en-US" sz="1600"/>
                  <a:t>/s)</a:t>
                </a:r>
              </a:p>
            </c:rich>
          </c:tx>
          <c:layout>
            <c:manualLayout>
              <c:xMode val="edge"/>
              <c:yMode val="edge"/>
              <c:x val="0.40918657042869644"/>
              <c:y val="0.915736337793238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339992"/>
        <c:crosses val="autoZero"/>
        <c:crossBetween val="midCat"/>
      </c:valAx>
      <c:valAx>
        <c:axId val="470339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Sediment</a:t>
                </a:r>
                <a:r>
                  <a:rPr lang="en-US" sz="1600" baseline="0"/>
                  <a:t> Concentration (mg/L)</a:t>
                </a:r>
                <a:endParaRPr lang="en-US" sz="1600"/>
              </a:p>
            </c:rich>
          </c:tx>
          <c:layout>
            <c:manualLayout>
              <c:xMode val="edge"/>
              <c:yMode val="edge"/>
              <c:x val="9.9166666666666674E-3"/>
              <c:y val="8.640786791857731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338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</xdr:row>
      <xdr:rowOff>0</xdr:rowOff>
    </xdr:from>
    <xdr:to>
      <xdr:col>18</xdr:col>
      <xdr:colOff>47086</xdr:colOff>
      <xdr:row>40</xdr:row>
      <xdr:rowOff>170500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53225" y="219075"/>
          <a:ext cx="4314286" cy="7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309562</xdr:colOff>
      <xdr:row>0</xdr:row>
      <xdr:rowOff>133350</xdr:rowOff>
    </xdr:from>
    <xdr:to>
      <xdr:col>10</xdr:col>
      <xdr:colOff>4762</xdr:colOff>
      <xdr:row>15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16</xdr:row>
      <xdr:rowOff>0</xdr:rowOff>
    </xdr:from>
    <xdr:to>
      <xdr:col>13</xdr:col>
      <xdr:colOff>389638</xdr:colOff>
      <xdr:row>42</xdr:row>
      <xdr:rowOff>56524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3048000"/>
          <a:ext cx="7095238" cy="50095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15</xdr:col>
      <xdr:colOff>189790</xdr:colOff>
      <xdr:row>18</xdr:row>
      <xdr:rowOff>113848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62425" y="0"/>
          <a:ext cx="5676190" cy="36190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10</xdr:col>
      <xdr:colOff>551924</xdr:colOff>
      <xdr:row>16</xdr:row>
      <xdr:rowOff>161520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0"/>
          <a:ext cx="4209524" cy="32380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2</xdr:row>
      <xdr:rowOff>180975</xdr:rowOff>
    </xdr:from>
    <xdr:to>
      <xdr:col>10</xdr:col>
      <xdr:colOff>419100</xdr:colOff>
      <xdr:row>20</xdr:row>
      <xdr:rowOff>147638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133350</xdr:colOff>
      <xdr:row>21</xdr:row>
      <xdr:rowOff>38100</xdr:rowOff>
    </xdr:from>
    <xdr:to>
      <xdr:col>10</xdr:col>
      <xdr:colOff>438150</xdr:colOff>
      <xdr:row>39</xdr:row>
      <xdr:rowOff>4763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abSelected="1" workbookViewId="0"/>
  </sheetViews>
  <sheetFormatPr defaultRowHeight="15" x14ac:dyDescent="0.25"/>
  <cols>
    <col min="1" max="1" width="9.85546875" bestFit="1" customWidth="1"/>
  </cols>
  <sheetData>
    <row r="1" spans="1:2" ht="17.25" x14ac:dyDescent="0.25">
      <c r="B1" t="s">
        <v>24</v>
      </c>
    </row>
    <row r="2" spans="1:2" x14ac:dyDescent="0.25">
      <c r="A2" s="1">
        <v>27576</v>
      </c>
      <c r="B2" s="20">
        <v>50</v>
      </c>
    </row>
    <row r="3" spans="1:2" x14ac:dyDescent="0.25">
      <c r="A3" s="1">
        <f>A2+1</f>
        <v>27577</v>
      </c>
      <c r="B3" s="20">
        <v>87.5</v>
      </c>
    </row>
    <row r="4" spans="1:2" x14ac:dyDescent="0.25">
      <c r="A4" s="1">
        <f t="shared" ref="A4:A67" si="0">A3+1</f>
        <v>27578</v>
      </c>
      <c r="B4" s="20">
        <v>125</v>
      </c>
    </row>
    <row r="5" spans="1:2" x14ac:dyDescent="0.25">
      <c r="A5" s="1">
        <f t="shared" si="0"/>
        <v>27579</v>
      </c>
      <c r="B5" s="20">
        <v>162.5</v>
      </c>
    </row>
    <row r="6" spans="1:2" x14ac:dyDescent="0.25">
      <c r="A6" s="1">
        <f t="shared" si="0"/>
        <v>27580</v>
      </c>
      <c r="B6" s="20">
        <v>200</v>
      </c>
    </row>
    <row r="7" spans="1:2" x14ac:dyDescent="0.25">
      <c r="A7" s="1">
        <f t="shared" si="0"/>
        <v>27581</v>
      </c>
      <c r="B7" s="20">
        <v>237.5</v>
      </c>
    </row>
    <row r="8" spans="1:2" x14ac:dyDescent="0.25">
      <c r="A8" s="1">
        <f t="shared" si="0"/>
        <v>27582</v>
      </c>
      <c r="B8" s="20">
        <v>275</v>
      </c>
    </row>
    <row r="9" spans="1:2" x14ac:dyDescent="0.25">
      <c r="A9" s="1">
        <f t="shared" si="0"/>
        <v>27583</v>
      </c>
      <c r="B9" s="20">
        <v>312.5</v>
      </c>
    </row>
    <row r="10" spans="1:2" x14ac:dyDescent="0.25">
      <c r="A10" s="1">
        <f t="shared" si="0"/>
        <v>27584</v>
      </c>
      <c r="B10" s="20">
        <v>350</v>
      </c>
    </row>
    <row r="11" spans="1:2" x14ac:dyDescent="0.25">
      <c r="A11" s="1">
        <f t="shared" si="0"/>
        <v>27585</v>
      </c>
      <c r="B11" s="20">
        <v>387.5</v>
      </c>
    </row>
    <row r="12" spans="1:2" x14ac:dyDescent="0.25">
      <c r="A12" s="1">
        <f t="shared" si="0"/>
        <v>27586</v>
      </c>
      <c r="B12" s="20">
        <v>425</v>
      </c>
    </row>
    <row r="13" spans="1:2" x14ac:dyDescent="0.25">
      <c r="A13" s="1">
        <f t="shared" si="0"/>
        <v>27587</v>
      </c>
      <c r="B13" s="20">
        <v>462.5</v>
      </c>
    </row>
    <row r="14" spans="1:2" x14ac:dyDescent="0.25">
      <c r="A14" s="1">
        <f t="shared" si="0"/>
        <v>27588</v>
      </c>
      <c r="B14" s="20">
        <v>500</v>
      </c>
    </row>
    <row r="15" spans="1:2" x14ac:dyDescent="0.25">
      <c r="A15" s="1">
        <f t="shared" si="0"/>
        <v>27589</v>
      </c>
      <c r="B15" s="20">
        <v>1250</v>
      </c>
    </row>
    <row r="16" spans="1:2" x14ac:dyDescent="0.25">
      <c r="A16" s="1">
        <f t="shared" si="0"/>
        <v>27590</v>
      </c>
      <c r="B16" s="20">
        <v>2000</v>
      </c>
    </row>
    <row r="17" spans="1:2" x14ac:dyDescent="0.25">
      <c r="A17" s="1">
        <f t="shared" si="0"/>
        <v>27591</v>
      </c>
      <c r="B17" s="20">
        <v>2750</v>
      </c>
    </row>
    <row r="18" spans="1:2" x14ac:dyDescent="0.25">
      <c r="A18" s="1">
        <f t="shared" si="0"/>
        <v>27592</v>
      </c>
      <c r="B18" s="20">
        <v>3500</v>
      </c>
    </row>
    <row r="19" spans="1:2" x14ac:dyDescent="0.25">
      <c r="A19" s="1">
        <f t="shared" si="0"/>
        <v>27593</v>
      </c>
      <c r="B19" s="20">
        <v>4250</v>
      </c>
    </row>
    <row r="20" spans="1:2" x14ac:dyDescent="0.25">
      <c r="A20" s="1">
        <f t="shared" si="0"/>
        <v>27594</v>
      </c>
      <c r="B20" s="20">
        <v>5000</v>
      </c>
    </row>
    <row r="21" spans="1:2" x14ac:dyDescent="0.25">
      <c r="A21" s="1">
        <f t="shared" si="0"/>
        <v>27595</v>
      </c>
      <c r="B21" s="20">
        <v>4826.92</v>
      </c>
    </row>
    <row r="22" spans="1:2" x14ac:dyDescent="0.25">
      <c r="A22" s="1">
        <f t="shared" si="0"/>
        <v>27596</v>
      </c>
      <c r="B22" s="20">
        <v>4653.8500000000004</v>
      </c>
    </row>
    <row r="23" spans="1:2" x14ac:dyDescent="0.25">
      <c r="A23" s="1">
        <f t="shared" si="0"/>
        <v>27597</v>
      </c>
      <c r="B23" s="20">
        <v>4480.7700000000004</v>
      </c>
    </row>
    <row r="24" spans="1:2" x14ac:dyDescent="0.25">
      <c r="A24" s="1">
        <f t="shared" si="0"/>
        <v>27598</v>
      </c>
      <c r="B24" s="20">
        <v>4307.6899999999996</v>
      </c>
    </row>
    <row r="25" spans="1:2" x14ac:dyDescent="0.25">
      <c r="A25" s="1">
        <f t="shared" si="0"/>
        <v>27599</v>
      </c>
      <c r="B25" s="20">
        <v>4134.62</v>
      </c>
    </row>
    <row r="26" spans="1:2" x14ac:dyDescent="0.25">
      <c r="A26" s="1">
        <f t="shared" si="0"/>
        <v>27600</v>
      </c>
      <c r="B26" s="20">
        <v>3961.54</v>
      </c>
    </row>
    <row r="27" spans="1:2" x14ac:dyDescent="0.25">
      <c r="A27" s="1">
        <f t="shared" si="0"/>
        <v>27601</v>
      </c>
      <c r="B27" s="20">
        <v>3788.46</v>
      </c>
    </row>
    <row r="28" spans="1:2" x14ac:dyDescent="0.25">
      <c r="A28" s="1">
        <f t="shared" si="0"/>
        <v>27602</v>
      </c>
      <c r="B28" s="20">
        <v>3615.39</v>
      </c>
    </row>
    <row r="29" spans="1:2" x14ac:dyDescent="0.25">
      <c r="A29" s="1">
        <f t="shared" si="0"/>
        <v>27603</v>
      </c>
      <c r="B29" s="20">
        <v>3442.31</v>
      </c>
    </row>
    <row r="30" spans="1:2" x14ac:dyDescent="0.25">
      <c r="A30" s="1">
        <f t="shared" si="0"/>
        <v>27604</v>
      </c>
      <c r="B30" s="20">
        <v>3269.23</v>
      </c>
    </row>
    <row r="31" spans="1:2" x14ac:dyDescent="0.25">
      <c r="A31" s="1">
        <f t="shared" si="0"/>
        <v>27605</v>
      </c>
      <c r="B31" s="20">
        <v>3096.15</v>
      </c>
    </row>
    <row r="32" spans="1:2" x14ac:dyDescent="0.25">
      <c r="A32" s="1">
        <f t="shared" si="0"/>
        <v>27606</v>
      </c>
      <c r="B32" s="20">
        <v>2923.08</v>
      </c>
    </row>
    <row r="33" spans="1:2" x14ac:dyDescent="0.25">
      <c r="A33" s="1">
        <f t="shared" si="0"/>
        <v>27607</v>
      </c>
      <c r="B33" s="20">
        <v>2750</v>
      </c>
    </row>
    <row r="34" spans="1:2" x14ac:dyDescent="0.25">
      <c r="A34" s="1">
        <f t="shared" si="0"/>
        <v>27608</v>
      </c>
      <c r="B34" s="20">
        <v>2576.92</v>
      </c>
    </row>
    <row r="35" spans="1:2" x14ac:dyDescent="0.25">
      <c r="A35" s="1">
        <f t="shared" si="0"/>
        <v>27609</v>
      </c>
      <c r="B35" s="20">
        <v>2403.85</v>
      </c>
    </row>
    <row r="36" spans="1:2" x14ac:dyDescent="0.25">
      <c r="A36" s="1">
        <f t="shared" si="0"/>
        <v>27610</v>
      </c>
      <c r="B36" s="20">
        <v>2230.77</v>
      </c>
    </row>
    <row r="37" spans="1:2" x14ac:dyDescent="0.25">
      <c r="A37" s="1">
        <f t="shared" si="0"/>
        <v>27611</v>
      </c>
      <c r="B37" s="20">
        <v>2057.69</v>
      </c>
    </row>
    <row r="38" spans="1:2" x14ac:dyDescent="0.25">
      <c r="A38" s="1">
        <f t="shared" si="0"/>
        <v>27612</v>
      </c>
      <c r="B38" s="20">
        <v>1884.62</v>
      </c>
    </row>
    <row r="39" spans="1:2" x14ac:dyDescent="0.25">
      <c r="A39" s="1">
        <f t="shared" si="0"/>
        <v>27613</v>
      </c>
      <c r="B39" s="20">
        <v>1711.54</v>
      </c>
    </row>
    <row r="40" spans="1:2" x14ac:dyDescent="0.25">
      <c r="A40" s="1">
        <f t="shared" si="0"/>
        <v>27614</v>
      </c>
      <c r="B40" s="20">
        <v>1538.46</v>
      </c>
    </row>
    <row r="41" spans="1:2" x14ac:dyDescent="0.25">
      <c r="A41" s="1">
        <f t="shared" si="0"/>
        <v>27615</v>
      </c>
      <c r="B41" s="20">
        <v>1365.39</v>
      </c>
    </row>
    <row r="42" spans="1:2" x14ac:dyDescent="0.25">
      <c r="A42" s="1">
        <f t="shared" si="0"/>
        <v>27616</v>
      </c>
      <c r="B42" s="20">
        <v>1192.31</v>
      </c>
    </row>
    <row r="43" spans="1:2" x14ac:dyDescent="0.25">
      <c r="A43" s="1">
        <f t="shared" si="0"/>
        <v>27617</v>
      </c>
      <c r="B43" s="20">
        <v>1019.23</v>
      </c>
    </row>
    <row r="44" spans="1:2" x14ac:dyDescent="0.25">
      <c r="A44" s="1">
        <f t="shared" si="0"/>
        <v>27618</v>
      </c>
      <c r="B44" s="20">
        <v>846.15</v>
      </c>
    </row>
    <row r="45" spans="1:2" x14ac:dyDescent="0.25">
      <c r="A45" s="1">
        <f t="shared" si="0"/>
        <v>27619</v>
      </c>
      <c r="B45" s="20">
        <v>673.08</v>
      </c>
    </row>
    <row r="46" spans="1:2" x14ac:dyDescent="0.25">
      <c r="A46" s="1">
        <f t="shared" si="0"/>
        <v>27620</v>
      </c>
      <c r="B46" s="20">
        <v>500</v>
      </c>
    </row>
    <row r="47" spans="1:2" x14ac:dyDescent="0.25">
      <c r="A47" s="1">
        <f t="shared" si="0"/>
        <v>27621</v>
      </c>
      <c r="B47" s="20">
        <v>491.82</v>
      </c>
    </row>
    <row r="48" spans="1:2" x14ac:dyDescent="0.25">
      <c r="A48" s="1">
        <f t="shared" si="0"/>
        <v>27622</v>
      </c>
      <c r="B48" s="20">
        <v>483.64</v>
      </c>
    </row>
    <row r="49" spans="1:2" x14ac:dyDescent="0.25">
      <c r="A49" s="1">
        <f t="shared" si="0"/>
        <v>27623</v>
      </c>
      <c r="B49" s="20">
        <v>475.45</v>
      </c>
    </row>
    <row r="50" spans="1:2" x14ac:dyDescent="0.25">
      <c r="A50" s="1">
        <f t="shared" si="0"/>
        <v>27624</v>
      </c>
      <c r="B50" s="20">
        <v>467.27</v>
      </c>
    </row>
    <row r="51" spans="1:2" x14ac:dyDescent="0.25">
      <c r="A51" s="1">
        <f t="shared" si="0"/>
        <v>27625</v>
      </c>
      <c r="B51" s="20">
        <v>459.09</v>
      </c>
    </row>
    <row r="52" spans="1:2" x14ac:dyDescent="0.25">
      <c r="A52" s="1">
        <f t="shared" si="0"/>
        <v>27626</v>
      </c>
      <c r="B52" s="20">
        <v>450.91</v>
      </c>
    </row>
    <row r="53" spans="1:2" x14ac:dyDescent="0.25">
      <c r="A53" s="1">
        <f t="shared" si="0"/>
        <v>27627</v>
      </c>
      <c r="B53" s="20">
        <v>442.73</v>
      </c>
    </row>
    <row r="54" spans="1:2" x14ac:dyDescent="0.25">
      <c r="A54" s="1">
        <f t="shared" si="0"/>
        <v>27628</v>
      </c>
      <c r="B54" s="20">
        <v>434.55</v>
      </c>
    </row>
    <row r="55" spans="1:2" x14ac:dyDescent="0.25">
      <c r="A55" s="1">
        <f t="shared" si="0"/>
        <v>27629</v>
      </c>
      <c r="B55" s="20">
        <v>426.36</v>
      </c>
    </row>
    <row r="56" spans="1:2" x14ac:dyDescent="0.25">
      <c r="A56" s="1">
        <f t="shared" si="0"/>
        <v>27630</v>
      </c>
      <c r="B56" s="20">
        <v>418.18</v>
      </c>
    </row>
    <row r="57" spans="1:2" x14ac:dyDescent="0.25">
      <c r="A57" s="1">
        <f t="shared" si="0"/>
        <v>27631</v>
      </c>
      <c r="B57" s="20">
        <v>410</v>
      </c>
    </row>
    <row r="58" spans="1:2" x14ac:dyDescent="0.25">
      <c r="A58" s="1">
        <f t="shared" si="0"/>
        <v>27632</v>
      </c>
      <c r="B58" s="20">
        <v>401.82</v>
      </c>
    </row>
    <row r="59" spans="1:2" x14ac:dyDescent="0.25">
      <c r="A59" s="1">
        <f t="shared" si="0"/>
        <v>27633</v>
      </c>
      <c r="B59" s="20">
        <v>393.64</v>
      </c>
    </row>
    <row r="60" spans="1:2" x14ac:dyDescent="0.25">
      <c r="A60" s="1">
        <f t="shared" si="0"/>
        <v>27634</v>
      </c>
      <c r="B60" s="20">
        <v>385.45</v>
      </c>
    </row>
    <row r="61" spans="1:2" x14ac:dyDescent="0.25">
      <c r="A61" s="1">
        <f t="shared" si="0"/>
        <v>27635</v>
      </c>
      <c r="B61" s="20">
        <v>377.27</v>
      </c>
    </row>
    <row r="62" spans="1:2" x14ac:dyDescent="0.25">
      <c r="A62" s="1">
        <f t="shared" si="0"/>
        <v>27636</v>
      </c>
      <c r="B62" s="20">
        <v>369.09</v>
      </c>
    </row>
    <row r="63" spans="1:2" x14ac:dyDescent="0.25">
      <c r="A63" s="1">
        <f t="shared" si="0"/>
        <v>27637</v>
      </c>
      <c r="B63" s="20">
        <v>360.91</v>
      </c>
    </row>
    <row r="64" spans="1:2" x14ac:dyDescent="0.25">
      <c r="A64" s="1">
        <f t="shared" si="0"/>
        <v>27638</v>
      </c>
      <c r="B64" s="20">
        <v>352.73</v>
      </c>
    </row>
    <row r="65" spans="1:2" x14ac:dyDescent="0.25">
      <c r="A65" s="1">
        <f t="shared" si="0"/>
        <v>27639</v>
      </c>
      <c r="B65" s="20">
        <v>344.55</v>
      </c>
    </row>
    <row r="66" spans="1:2" x14ac:dyDescent="0.25">
      <c r="A66" s="1">
        <f t="shared" si="0"/>
        <v>27640</v>
      </c>
      <c r="B66" s="20">
        <v>336.36</v>
      </c>
    </row>
    <row r="67" spans="1:2" x14ac:dyDescent="0.25">
      <c r="A67" s="1">
        <f t="shared" si="0"/>
        <v>27641</v>
      </c>
      <c r="B67" s="20">
        <v>328.18</v>
      </c>
    </row>
    <row r="68" spans="1:2" x14ac:dyDescent="0.25">
      <c r="A68" s="1">
        <f t="shared" ref="A68:A101" si="1">A67+1</f>
        <v>27642</v>
      </c>
      <c r="B68" s="20">
        <v>320</v>
      </c>
    </row>
    <row r="69" spans="1:2" x14ac:dyDescent="0.25">
      <c r="A69" s="1">
        <f t="shared" si="1"/>
        <v>27643</v>
      </c>
      <c r="B69" s="20">
        <v>311.82</v>
      </c>
    </row>
    <row r="70" spans="1:2" x14ac:dyDescent="0.25">
      <c r="A70" s="1">
        <f t="shared" si="1"/>
        <v>27644</v>
      </c>
      <c r="B70" s="20">
        <v>303.64</v>
      </c>
    </row>
    <row r="71" spans="1:2" x14ac:dyDescent="0.25">
      <c r="A71" s="1">
        <f t="shared" si="1"/>
        <v>27645</v>
      </c>
      <c r="B71" s="20">
        <v>295.45</v>
      </c>
    </row>
    <row r="72" spans="1:2" x14ac:dyDescent="0.25">
      <c r="A72" s="1">
        <f t="shared" si="1"/>
        <v>27646</v>
      </c>
      <c r="B72" s="20">
        <v>287.27</v>
      </c>
    </row>
    <row r="73" spans="1:2" x14ac:dyDescent="0.25">
      <c r="A73" s="1">
        <f t="shared" si="1"/>
        <v>27647</v>
      </c>
      <c r="B73" s="20">
        <v>279.08999999999997</v>
      </c>
    </row>
    <row r="74" spans="1:2" x14ac:dyDescent="0.25">
      <c r="A74" s="1">
        <f t="shared" si="1"/>
        <v>27648</v>
      </c>
      <c r="B74" s="20">
        <v>270.91000000000003</v>
      </c>
    </row>
    <row r="75" spans="1:2" x14ac:dyDescent="0.25">
      <c r="A75" s="1">
        <f t="shared" si="1"/>
        <v>27649</v>
      </c>
      <c r="B75" s="20">
        <v>262.73</v>
      </c>
    </row>
    <row r="76" spans="1:2" x14ac:dyDescent="0.25">
      <c r="A76" s="1">
        <f t="shared" si="1"/>
        <v>27650</v>
      </c>
      <c r="B76" s="20">
        <v>254.55</v>
      </c>
    </row>
    <row r="77" spans="1:2" x14ac:dyDescent="0.25">
      <c r="A77" s="1">
        <f t="shared" si="1"/>
        <v>27651</v>
      </c>
      <c r="B77" s="20">
        <v>246.36</v>
      </c>
    </row>
    <row r="78" spans="1:2" x14ac:dyDescent="0.25">
      <c r="A78" s="1">
        <f t="shared" si="1"/>
        <v>27652</v>
      </c>
      <c r="B78" s="20">
        <v>238.18</v>
      </c>
    </row>
    <row r="79" spans="1:2" x14ac:dyDescent="0.25">
      <c r="A79" s="1">
        <f t="shared" si="1"/>
        <v>27653</v>
      </c>
      <c r="B79" s="20">
        <v>230</v>
      </c>
    </row>
    <row r="80" spans="1:2" x14ac:dyDescent="0.25">
      <c r="A80" s="1">
        <f t="shared" si="1"/>
        <v>27654</v>
      </c>
      <c r="B80" s="20">
        <v>221.82</v>
      </c>
    </row>
    <row r="81" spans="1:2" x14ac:dyDescent="0.25">
      <c r="A81" s="1">
        <f t="shared" si="1"/>
        <v>27655</v>
      </c>
      <c r="B81" s="20">
        <v>213.64</v>
      </c>
    </row>
    <row r="82" spans="1:2" x14ac:dyDescent="0.25">
      <c r="A82" s="1">
        <f t="shared" si="1"/>
        <v>27656</v>
      </c>
      <c r="B82" s="20">
        <v>205.45</v>
      </c>
    </row>
    <row r="83" spans="1:2" x14ac:dyDescent="0.25">
      <c r="A83" s="1">
        <f t="shared" si="1"/>
        <v>27657</v>
      </c>
      <c r="B83" s="20">
        <v>197.27</v>
      </c>
    </row>
    <row r="84" spans="1:2" x14ac:dyDescent="0.25">
      <c r="A84" s="1">
        <f t="shared" si="1"/>
        <v>27658</v>
      </c>
      <c r="B84" s="20">
        <v>189.09</v>
      </c>
    </row>
    <row r="85" spans="1:2" x14ac:dyDescent="0.25">
      <c r="A85" s="1">
        <f t="shared" si="1"/>
        <v>27659</v>
      </c>
      <c r="B85" s="20">
        <v>180.91</v>
      </c>
    </row>
    <row r="86" spans="1:2" x14ac:dyDescent="0.25">
      <c r="A86" s="1">
        <f t="shared" si="1"/>
        <v>27660</v>
      </c>
      <c r="B86" s="20">
        <v>172.73</v>
      </c>
    </row>
    <row r="87" spans="1:2" x14ac:dyDescent="0.25">
      <c r="A87" s="1">
        <f t="shared" si="1"/>
        <v>27661</v>
      </c>
      <c r="B87" s="20">
        <v>164.55</v>
      </c>
    </row>
    <row r="88" spans="1:2" x14ac:dyDescent="0.25">
      <c r="A88" s="1">
        <f t="shared" si="1"/>
        <v>27662</v>
      </c>
      <c r="B88" s="20">
        <v>156.36000000000001</v>
      </c>
    </row>
    <row r="89" spans="1:2" x14ac:dyDescent="0.25">
      <c r="A89" s="1">
        <f t="shared" si="1"/>
        <v>27663</v>
      </c>
      <c r="B89" s="20">
        <v>148.18</v>
      </c>
    </row>
    <row r="90" spans="1:2" x14ac:dyDescent="0.25">
      <c r="A90" s="1">
        <f t="shared" si="1"/>
        <v>27664</v>
      </c>
      <c r="B90" s="20">
        <v>140</v>
      </c>
    </row>
    <row r="91" spans="1:2" x14ac:dyDescent="0.25">
      <c r="A91" s="1">
        <f t="shared" si="1"/>
        <v>27665</v>
      </c>
      <c r="B91" s="20">
        <v>131.82</v>
      </c>
    </row>
    <row r="92" spans="1:2" x14ac:dyDescent="0.25">
      <c r="A92" s="1">
        <f t="shared" si="1"/>
        <v>27666</v>
      </c>
      <c r="B92" s="20">
        <v>123.64</v>
      </c>
    </row>
    <row r="93" spans="1:2" x14ac:dyDescent="0.25">
      <c r="A93" s="1">
        <f t="shared" si="1"/>
        <v>27667</v>
      </c>
      <c r="B93" s="20">
        <v>115.45</v>
      </c>
    </row>
    <row r="94" spans="1:2" x14ac:dyDescent="0.25">
      <c r="A94" s="1">
        <f t="shared" si="1"/>
        <v>27668</v>
      </c>
      <c r="B94" s="20">
        <v>107.27</v>
      </c>
    </row>
    <row r="95" spans="1:2" x14ac:dyDescent="0.25">
      <c r="A95" s="1">
        <f t="shared" si="1"/>
        <v>27669</v>
      </c>
      <c r="B95" s="20">
        <v>99.09</v>
      </c>
    </row>
    <row r="96" spans="1:2" x14ac:dyDescent="0.25">
      <c r="A96" s="1">
        <f t="shared" si="1"/>
        <v>27670</v>
      </c>
      <c r="B96" s="20">
        <v>90.91</v>
      </c>
    </row>
    <row r="97" spans="1:2" x14ac:dyDescent="0.25">
      <c r="A97" s="1">
        <f t="shared" si="1"/>
        <v>27671</v>
      </c>
      <c r="B97" s="20">
        <v>82.73</v>
      </c>
    </row>
    <row r="98" spans="1:2" x14ac:dyDescent="0.25">
      <c r="A98" s="1">
        <f t="shared" si="1"/>
        <v>27672</v>
      </c>
      <c r="B98" s="20">
        <v>74.55</v>
      </c>
    </row>
    <row r="99" spans="1:2" x14ac:dyDescent="0.25">
      <c r="A99" s="1">
        <f t="shared" si="1"/>
        <v>27673</v>
      </c>
      <c r="B99" s="20">
        <v>66.36</v>
      </c>
    </row>
    <row r="100" spans="1:2" x14ac:dyDescent="0.25">
      <c r="A100" s="1">
        <f t="shared" si="1"/>
        <v>27674</v>
      </c>
      <c r="B100" s="20">
        <v>58.18</v>
      </c>
    </row>
    <row r="101" spans="1:2" x14ac:dyDescent="0.25">
      <c r="A101" s="1">
        <f t="shared" si="1"/>
        <v>27675</v>
      </c>
      <c r="B101" s="20">
        <v>50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O35" sqref="O3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4.0000000000000001E-3</v>
      </c>
    </row>
    <row r="3" spans="1:2" x14ac:dyDescent="0.25">
      <c r="A3">
        <f>A2*2</f>
        <v>8.0000000000000002E-3</v>
      </c>
    </row>
    <row r="4" spans="1:2" x14ac:dyDescent="0.25">
      <c r="A4">
        <f t="shared" ref="A4:A15" si="0">A3*2</f>
        <v>1.6E-2</v>
      </c>
    </row>
    <row r="5" spans="1:2" x14ac:dyDescent="0.25">
      <c r="A5">
        <f t="shared" si="0"/>
        <v>3.2000000000000001E-2</v>
      </c>
    </row>
    <row r="6" spans="1:2" x14ac:dyDescent="0.25">
      <c r="A6">
        <v>6.25E-2</v>
      </c>
      <c r="B6">
        <v>0</v>
      </c>
    </row>
    <row r="7" spans="1:2" x14ac:dyDescent="0.25">
      <c r="A7">
        <v>0.125</v>
      </c>
      <c r="B7">
        <v>3</v>
      </c>
    </row>
    <row r="8" spans="1:2" x14ac:dyDescent="0.25">
      <c r="A8">
        <f t="shared" si="0"/>
        <v>0.25</v>
      </c>
      <c r="B8">
        <v>15</v>
      </c>
    </row>
    <row r="9" spans="1:2" x14ac:dyDescent="0.25">
      <c r="A9">
        <f t="shared" si="0"/>
        <v>0.5</v>
      </c>
      <c r="B9">
        <v>50</v>
      </c>
    </row>
    <row r="10" spans="1:2" x14ac:dyDescent="0.25">
      <c r="A10">
        <f t="shared" si="0"/>
        <v>1</v>
      </c>
      <c r="B10">
        <v>85</v>
      </c>
    </row>
    <row r="11" spans="1:2" x14ac:dyDescent="0.25">
      <c r="A11">
        <f t="shared" si="0"/>
        <v>2</v>
      </c>
      <c r="B11">
        <v>95</v>
      </c>
    </row>
    <row r="12" spans="1:2" x14ac:dyDescent="0.25">
      <c r="A12">
        <f t="shared" si="0"/>
        <v>4</v>
      </c>
      <c r="B12">
        <v>97</v>
      </c>
    </row>
    <row r="13" spans="1:2" x14ac:dyDescent="0.25">
      <c r="A13">
        <f t="shared" si="0"/>
        <v>8</v>
      </c>
      <c r="B13">
        <v>98</v>
      </c>
    </row>
    <row r="14" spans="1:2" x14ac:dyDescent="0.25">
      <c r="A14">
        <f t="shared" si="0"/>
        <v>16</v>
      </c>
      <c r="B14">
        <v>99</v>
      </c>
    </row>
    <row r="15" spans="1:2" x14ac:dyDescent="0.25">
      <c r="A15">
        <f t="shared" si="0"/>
        <v>32</v>
      </c>
      <c r="B15">
        <v>100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A21" sqref="A21"/>
    </sheetView>
  </sheetViews>
  <sheetFormatPr defaultRowHeight="15" x14ac:dyDescent="0.25"/>
  <cols>
    <col min="1" max="1" width="10.85546875" bestFit="1" customWidth="1"/>
    <col min="2" max="5" width="9.140625" style="2"/>
    <col min="6" max="6" width="15" bestFit="1" customWidth="1"/>
  </cols>
  <sheetData>
    <row r="1" spans="1:6" ht="15.75" thickBot="1" x14ac:dyDescent="0.3">
      <c r="A1" s="4" t="s">
        <v>2</v>
      </c>
      <c r="B1" s="5">
        <v>100</v>
      </c>
      <c r="C1" s="5">
        <v>1000</v>
      </c>
      <c r="D1" s="5">
        <v>5000</v>
      </c>
      <c r="E1" s="6">
        <v>10000</v>
      </c>
    </row>
    <row r="2" spans="1:6" ht="19.5" thickBot="1" x14ac:dyDescent="0.4">
      <c r="A2" s="7" t="s">
        <v>3</v>
      </c>
      <c r="B2" s="8">
        <v>220</v>
      </c>
      <c r="C2" s="8">
        <v>22000</v>
      </c>
      <c r="D2" s="8">
        <v>550000</v>
      </c>
      <c r="E2" s="9">
        <v>2200000</v>
      </c>
      <c r="F2" t="s">
        <v>25</v>
      </c>
    </row>
    <row r="3" spans="1:6" x14ac:dyDescent="0.25">
      <c r="A3" s="10" t="s">
        <v>4</v>
      </c>
      <c r="B3" s="11"/>
      <c r="C3" s="11"/>
      <c r="D3" s="11"/>
      <c r="E3" s="12"/>
    </row>
    <row r="4" spans="1:6" x14ac:dyDescent="0.25">
      <c r="A4" s="13" t="s">
        <v>5</v>
      </c>
      <c r="B4" s="3"/>
      <c r="C4" s="3"/>
      <c r="D4" s="3"/>
      <c r="E4" s="14"/>
    </row>
    <row r="5" spans="1:6" x14ac:dyDescent="0.25">
      <c r="A5" s="13" t="s">
        <v>6</v>
      </c>
      <c r="B5" s="3"/>
      <c r="C5" s="3"/>
      <c r="D5" s="3"/>
      <c r="E5" s="14"/>
    </row>
    <row r="6" spans="1:6" x14ac:dyDescent="0.25">
      <c r="A6" s="13" t="s">
        <v>7</v>
      </c>
      <c r="B6" s="3"/>
      <c r="C6" s="3"/>
      <c r="D6" s="3"/>
      <c r="E6" s="14"/>
    </row>
    <row r="7" spans="1:6" x14ac:dyDescent="0.25">
      <c r="A7" s="13" t="s">
        <v>8</v>
      </c>
      <c r="B7" s="3"/>
      <c r="C7" s="3"/>
      <c r="D7" s="3"/>
      <c r="E7" s="14"/>
    </row>
    <row r="8" spans="1:6" x14ac:dyDescent="0.25">
      <c r="A8" s="13" t="s">
        <v>9</v>
      </c>
      <c r="B8" s="3">
        <v>0.4</v>
      </c>
      <c r="C8" s="3">
        <v>0.5</v>
      </c>
      <c r="D8" s="3">
        <v>0.55000000000000004</v>
      </c>
      <c r="E8" s="14">
        <v>0.65</v>
      </c>
    </row>
    <row r="9" spans="1:6" x14ac:dyDescent="0.25">
      <c r="A9" s="13" t="s">
        <v>10</v>
      </c>
      <c r="B9" s="3">
        <v>0.3</v>
      </c>
      <c r="C9" s="3">
        <v>0.2</v>
      </c>
      <c r="D9" s="3">
        <v>0.18</v>
      </c>
      <c r="E9" s="14">
        <v>0.15</v>
      </c>
    </row>
    <row r="10" spans="1:6" x14ac:dyDescent="0.25">
      <c r="A10" s="13" t="s">
        <v>11</v>
      </c>
      <c r="B10" s="3">
        <v>0.2</v>
      </c>
      <c r="C10" s="3">
        <v>0.2</v>
      </c>
      <c r="D10" s="3">
        <v>0.15</v>
      </c>
      <c r="E10" s="14">
        <v>0.1</v>
      </c>
    </row>
    <row r="11" spans="1:6" x14ac:dyDescent="0.25">
      <c r="A11" s="13" t="s">
        <v>12</v>
      </c>
      <c r="B11" s="3">
        <v>0.08</v>
      </c>
      <c r="C11" s="3">
        <v>0.08</v>
      </c>
      <c r="D11" s="3">
        <v>0.08</v>
      </c>
      <c r="E11" s="14">
        <v>0.05</v>
      </c>
    </row>
    <row r="12" spans="1:6" x14ac:dyDescent="0.25">
      <c r="A12" s="13" t="s">
        <v>13</v>
      </c>
      <c r="B12" s="3">
        <v>0.01</v>
      </c>
      <c r="C12" s="3">
        <v>0.01</v>
      </c>
      <c r="D12" s="3">
        <v>0.02</v>
      </c>
      <c r="E12" s="14">
        <v>0.02</v>
      </c>
    </row>
    <row r="13" spans="1:6" x14ac:dyDescent="0.25">
      <c r="A13" s="13" t="s">
        <v>14</v>
      </c>
      <c r="B13" s="3">
        <v>0.01</v>
      </c>
      <c r="C13" s="3">
        <v>0.01</v>
      </c>
      <c r="D13" s="3">
        <v>0.01</v>
      </c>
      <c r="E13" s="14">
        <v>0.01</v>
      </c>
    </row>
    <row r="14" spans="1:6" x14ac:dyDescent="0.25">
      <c r="A14" s="13" t="s">
        <v>15</v>
      </c>
      <c r="B14" s="3">
        <v>0.01</v>
      </c>
      <c r="C14" s="3">
        <v>0.01</v>
      </c>
      <c r="D14" s="3">
        <v>0.01</v>
      </c>
      <c r="E14" s="14">
        <v>0.01</v>
      </c>
    </row>
    <row r="15" spans="1:6" x14ac:dyDescent="0.25">
      <c r="A15" s="13" t="s">
        <v>16</v>
      </c>
      <c r="B15" s="3"/>
      <c r="C15" s="3"/>
      <c r="D15" s="3"/>
      <c r="E15" s="14">
        <v>0.01</v>
      </c>
    </row>
    <row r="16" spans="1:6" ht="15.75" thickBot="1" x14ac:dyDescent="0.3">
      <c r="A16" s="15" t="s">
        <v>17</v>
      </c>
      <c r="B16" s="16"/>
      <c r="C16" s="16"/>
      <c r="D16" s="16"/>
      <c r="E16" s="17"/>
    </row>
    <row r="20" spans="1:2" x14ac:dyDescent="0.25">
      <c r="A20" t="s">
        <v>33</v>
      </c>
    </row>
    <row r="21" spans="1:2" x14ac:dyDescent="0.25">
      <c r="B21" s="18" t="s">
        <v>19</v>
      </c>
    </row>
    <row r="22" spans="1:2" x14ac:dyDescent="0.25">
      <c r="B22" t="s">
        <v>18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O4" sqref="O4"/>
    </sheetView>
  </sheetViews>
  <sheetFormatPr defaultRowHeight="15" x14ac:dyDescent="0.25"/>
  <sheetData>
    <row r="1" spans="1:3" x14ac:dyDescent="0.25">
      <c r="A1" t="s">
        <v>20</v>
      </c>
    </row>
    <row r="2" spans="1:3" x14ac:dyDescent="0.25">
      <c r="B2" s="19" t="s">
        <v>21</v>
      </c>
      <c r="C2">
        <v>2.9999999999999997E-4</v>
      </c>
    </row>
    <row r="4" spans="1:3" x14ac:dyDescent="0.25">
      <c r="A4" t="s">
        <v>22</v>
      </c>
    </row>
    <row r="5" spans="1:3" ht="17.25" x14ac:dyDescent="0.25">
      <c r="B5">
        <v>15</v>
      </c>
      <c r="C5" t="s">
        <v>23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selection activeCell="M6" sqref="M6"/>
    </sheetView>
  </sheetViews>
  <sheetFormatPr defaultRowHeight="15" x14ac:dyDescent="0.25"/>
  <cols>
    <col min="1" max="1" width="13.85546875" bestFit="1" customWidth="1"/>
  </cols>
  <sheetData>
    <row r="1" spans="1:13" x14ac:dyDescent="0.25">
      <c r="A1" t="s">
        <v>26</v>
      </c>
    </row>
    <row r="2" spans="1:13" x14ac:dyDescent="0.25">
      <c r="B2" t="s">
        <v>28</v>
      </c>
      <c r="C2" t="s">
        <v>27</v>
      </c>
      <c r="L2" t="s">
        <v>31</v>
      </c>
    </row>
    <row r="3" spans="1:13" x14ac:dyDescent="0.25">
      <c r="B3" t="s">
        <v>29</v>
      </c>
      <c r="C3" t="s">
        <v>30</v>
      </c>
      <c r="L3" t="s">
        <v>28</v>
      </c>
      <c r="M3" t="s">
        <v>32</v>
      </c>
    </row>
    <row r="4" spans="1:13" x14ac:dyDescent="0.25">
      <c r="A4" s="21">
        <v>27577</v>
      </c>
      <c r="B4" s="22">
        <v>50</v>
      </c>
      <c r="C4" s="22">
        <v>50.127000000000002</v>
      </c>
      <c r="L4">
        <v>30</v>
      </c>
      <c r="M4">
        <v>30</v>
      </c>
    </row>
    <row r="5" spans="1:13" x14ac:dyDescent="0.25">
      <c r="A5" s="21">
        <v>27578</v>
      </c>
      <c r="B5" s="22">
        <v>87.5</v>
      </c>
      <c r="C5" s="22">
        <v>64.626999999999995</v>
      </c>
      <c r="L5">
        <v>35</v>
      </c>
      <c r="M5">
        <v>30</v>
      </c>
    </row>
    <row r="6" spans="1:13" x14ac:dyDescent="0.25">
      <c r="A6" s="21">
        <v>27579</v>
      </c>
      <c r="B6" s="22">
        <v>125</v>
      </c>
      <c r="C6" s="22">
        <v>84.652000000000001</v>
      </c>
      <c r="L6">
        <v>55</v>
      </c>
      <c r="M6">
        <v>45</v>
      </c>
    </row>
    <row r="7" spans="1:13" x14ac:dyDescent="0.25">
      <c r="A7" s="21">
        <v>27580</v>
      </c>
      <c r="B7" s="22">
        <v>162.5</v>
      </c>
      <c r="C7" s="22">
        <v>75.858000000000004</v>
      </c>
      <c r="L7">
        <v>60</v>
      </c>
      <c r="M7">
        <v>40</v>
      </c>
    </row>
    <row r="8" spans="1:13" x14ac:dyDescent="0.25">
      <c r="A8" s="21">
        <v>27581</v>
      </c>
      <c r="B8" s="22">
        <v>200</v>
      </c>
      <c r="C8" s="22">
        <v>90.724999999999994</v>
      </c>
      <c r="L8">
        <v>60</v>
      </c>
      <c r="M8">
        <v>35</v>
      </c>
    </row>
    <row r="9" spans="1:13" x14ac:dyDescent="0.25">
      <c r="A9" s="21">
        <v>27582</v>
      </c>
      <c r="B9" s="22">
        <v>237.5</v>
      </c>
      <c r="C9" s="22">
        <v>130.76300000000001</v>
      </c>
      <c r="L9">
        <v>70</v>
      </c>
      <c r="M9">
        <v>50</v>
      </c>
    </row>
    <row r="10" spans="1:13" x14ac:dyDescent="0.25">
      <c r="A10" s="21">
        <v>27583</v>
      </c>
      <c r="B10" s="22">
        <v>275</v>
      </c>
      <c r="C10" s="22">
        <v>144.47900000000001</v>
      </c>
      <c r="L10">
        <v>90</v>
      </c>
      <c r="M10">
        <v>75</v>
      </c>
    </row>
    <row r="11" spans="1:13" x14ac:dyDescent="0.25">
      <c r="A11" s="21">
        <v>27584</v>
      </c>
      <c r="B11" s="22">
        <v>312.5</v>
      </c>
      <c r="C11" s="22">
        <v>172.92500000000001</v>
      </c>
      <c r="L11">
        <v>100</v>
      </c>
      <c r="M11">
        <v>45</v>
      </c>
    </row>
    <row r="12" spans="1:13" x14ac:dyDescent="0.25">
      <c r="A12" s="21">
        <v>27585</v>
      </c>
      <c r="B12" s="22">
        <v>350</v>
      </c>
      <c r="C12" s="22">
        <v>179.33600000000001</v>
      </c>
      <c r="L12">
        <v>120</v>
      </c>
      <c r="M12">
        <v>90</v>
      </c>
    </row>
    <row r="13" spans="1:13" x14ac:dyDescent="0.25">
      <c r="A13" s="21">
        <v>27586</v>
      </c>
      <c r="B13" s="22">
        <v>387.5</v>
      </c>
      <c r="C13" s="22">
        <v>184.92599999999999</v>
      </c>
      <c r="L13">
        <v>220</v>
      </c>
      <c r="M13">
        <v>85</v>
      </c>
    </row>
    <row r="14" spans="1:13" x14ac:dyDescent="0.25">
      <c r="A14" s="21">
        <v>27587</v>
      </c>
      <c r="B14" s="22">
        <v>425</v>
      </c>
      <c r="C14" s="22">
        <v>188.39699999999999</v>
      </c>
      <c r="L14">
        <v>390</v>
      </c>
      <c r="M14">
        <v>85</v>
      </c>
    </row>
    <row r="15" spans="1:13" x14ac:dyDescent="0.25">
      <c r="A15" s="21">
        <v>27588</v>
      </c>
      <c r="B15" s="22">
        <v>462.5</v>
      </c>
      <c r="C15" s="22">
        <v>193.33</v>
      </c>
      <c r="L15">
        <v>400</v>
      </c>
      <c r="M15">
        <v>130</v>
      </c>
    </row>
    <row r="16" spans="1:13" x14ac:dyDescent="0.25">
      <c r="A16" s="21">
        <v>27589</v>
      </c>
      <c r="B16" s="22">
        <v>500</v>
      </c>
      <c r="C16" s="22">
        <v>200.071</v>
      </c>
      <c r="L16">
        <v>670</v>
      </c>
      <c r="M16">
        <v>250</v>
      </c>
    </row>
    <row r="17" spans="1:13" x14ac:dyDescent="0.25">
      <c r="A17" s="21">
        <v>27590</v>
      </c>
      <c r="B17" s="22">
        <v>1250</v>
      </c>
      <c r="C17" s="22">
        <v>347.23500000000001</v>
      </c>
      <c r="L17">
        <v>1200</v>
      </c>
      <c r="M17">
        <v>200</v>
      </c>
    </row>
    <row r="18" spans="1:13" x14ac:dyDescent="0.25">
      <c r="A18" s="21">
        <v>27591</v>
      </c>
      <c r="B18" s="22">
        <v>2000</v>
      </c>
      <c r="C18" s="22">
        <v>508.75900000000001</v>
      </c>
      <c r="L18">
        <v>2400</v>
      </c>
      <c r="M18">
        <v>300</v>
      </c>
    </row>
    <row r="19" spans="1:13" x14ac:dyDescent="0.25">
      <c r="A19" s="21">
        <v>27592</v>
      </c>
      <c r="B19" s="22">
        <v>2750</v>
      </c>
      <c r="C19" s="22">
        <v>625.41899999999998</v>
      </c>
      <c r="L19">
        <v>2600</v>
      </c>
      <c r="M19">
        <v>250</v>
      </c>
    </row>
    <row r="20" spans="1:13" x14ac:dyDescent="0.25">
      <c r="A20" s="21">
        <v>27593</v>
      </c>
      <c r="B20" s="22">
        <v>3499.998</v>
      </c>
      <c r="C20" s="22">
        <v>722.75</v>
      </c>
      <c r="L20">
        <v>3300</v>
      </c>
      <c r="M20">
        <v>310</v>
      </c>
    </row>
    <row r="21" spans="1:13" x14ac:dyDescent="0.25">
      <c r="A21" s="21">
        <v>27594</v>
      </c>
      <c r="B21" s="22">
        <v>4249.9979999999996</v>
      </c>
      <c r="C21" s="22">
        <v>850.66200000000003</v>
      </c>
    </row>
    <row r="22" spans="1:13" x14ac:dyDescent="0.25">
      <c r="A22" s="21">
        <v>27595</v>
      </c>
      <c r="B22" s="22">
        <v>4999.9979999999996</v>
      </c>
      <c r="C22" s="22">
        <v>960.75900000000001</v>
      </c>
    </row>
    <row r="23" spans="1:13" x14ac:dyDescent="0.25">
      <c r="A23" s="21">
        <v>27596</v>
      </c>
      <c r="B23" s="22">
        <v>4826.92</v>
      </c>
      <c r="C23" s="22">
        <v>1013.975</v>
      </c>
    </row>
    <row r="24" spans="1:13" x14ac:dyDescent="0.25">
      <c r="A24" s="21">
        <v>27597</v>
      </c>
      <c r="B24" s="22">
        <v>4653.8500000000004</v>
      </c>
      <c r="C24" s="22">
        <v>1027.857</v>
      </c>
    </row>
    <row r="25" spans="1:13" x14ac:dyDescent="0.25">
      <c r="A25" s="21">
        <v>27598</v>
      </c>
      <c r="B25" s="22">
        <v>4480.7690000000002</v>
      </c>
      <c r="C25" s="22">
        <v>1029.979</v>
      </c>
    </row>
    <row r="26" spans="1:13" x14ac:dyDescent="0.25">
      <c r="A26" s="21">
        <v>27599</v>
      </c>
      <c r="B26" s="22">
        <v>4307.6880000000001</v>
      </c>
      <c r="C26" s="22">
        <v>1005.239</v>
      </c>
    </row>
    <row r="27" spans="1:13" x14ac:dyDescent="0.25">
      <c r="A27" s="21">
        <v>27600</v>
      </c>
      <c r="B27" s="22">
        <v>4134.6180000000004</v>
      </c>
      <c r="C27" s="22">
        <v>969.58299999999997</v>
      </c>
    </row>
    <row r="28" spans="1:13" x14ac:dyDescent="0.25">
      <c r="A28" s="21">
        <v>27601</v>
      </c>
      <c r="B28" s="22">
        <v>3961.54</v>
      </c>
      <c r="C28" s="22">
        <v>937.33100000000002</v>
      </c>
    </row>
    <row r="29" spans="1:13" x14ac:dyDescent="0.25">
      <c r="A29" s="21">
        <v>27602</v>
      </c>
      <c r="B29" s="22">
        <v>3788.4589999999998</v>
      </c>
      <c r="C29" s="22">
        <v>908.36400000000003</v>
      </c>
    </row>
    <row r="30" spans="1:13" x14ac:dyDescent="0.25">
      <c r="A30" s="21">
        <v>27603</v>
      </c>
      <c r="B30" s="22">
        <v>3615.3890000000001</v>
      </c>
      <c r="C30" s="22">
        <v>885.46199999999999</v>
      </c>
    </row>
    <row r="31" spans="1:13" x14ac:dyDescent="0.25">
      <c r="A31" s="21">
        <v>27604</v>
      </c>
      <c r="B31" s="22">
        <v>3442.308</v>
      </c>
      <c r="C31" s="22">
        <v>863.71</v>
      </c>
    </row>
    <row r="32" spans="1:13" x14ac:dyDescent="0.25">
      <c r="A32" s="21">
        <v>27605</v>
      </c>
      <c r="B32" s="22">
        <v>3269.23</v>
      </c>
      <c r="C32" s="22">
        <v>837.42200000000003</v>
      </c>
    </row>
    <row r="33" spans="1:3" x14ac:dyDescent="0.25">
      <c r="A33" s="21">
        <v>27606</v>
      </c>
      <c r="B33" s="22">
        <v>3096.1489999999999</v>
      </c>
      <c r="C33" s="22">
        <v>812.21699999999998</v>
      </c>
    </row>
    <row r="34" spans="1:3" x14ac:dyDescent="0.25">
      <c r="A34" s="21">
        <v>27607</v>
      </c>
      <c r="B34" s="22">
        <v>2923.0790000000002</v>
      </c>
      <c r="C34" s="22">
        <v>785.60699999999997</v>
      </c>
    </row>
    <row r="35" spans="1:3" x14ac:dyDescent="0.25">
      <c r="A35" s="21">
        <v>27608</v>
      </c>
      <c r="B35" s="22">
        <v>2750</v>
      </c>
      <c r="C35" s="22">
        <v>758.04700000000003</v>
      </c>
    </row>
    <row r="36" spans="1:3" x14ac:dyDescent="0.25">
      <c r="A36" s="21">
        <v>27609</v>
      </c>
      <c r="B36" s="22">
        <v>2576.9189999999999</v>
      </c>
      <c r="C36" s="22">
        <v>725.00900000000001</v>
      </c>
    </row>
    <row r="37" spans="1:3" x14ac:dyDescent="0.25">
      <c r="A37" s="21">
        <v>27610</v>
      </c>
      <c r="B37" s="22">
        <v>2403.8490000000002</v>
      </c>
      <c r="C37" s="22">
        <v>690.41700000000003</v>
      </c>
    </row>
    <row r="38" spans="1:3" x14ac:dyDescent="0.25">
      <c r="A38" s="21">
        <v>27611</v>
      </c>
      <c r="B38" s="22">
        <v>2230.77</v>
      </c>
      <c r="C38" s="22">
        <v>652.13</v>
      </c>
    </row>
    <row r="39" spans="1:3" x14ac:dyDescent="0.25">
      <c r="A39" s="21">
        <v>27612</v>
      </c>
      <c r="B39" s="22">
        <v>2057.6889999999999</v>
      </c>
      <c r="C39" s="22">
        <v>609.85699999999997</v>
      </c>
    </row>
    <row r="40" spans="1:3" x14ac:dyDescent="0.25">
      <c r="A40" s="21">
        <v>27613</v>
      </c>
      <c r="B40" s="22">
        <v>1884.62</v>
      </c>
      <c r="C40" s="22">
        <v>565.14499999999998</v>
      </c>
    </row>
    <row r="41" spans="1:3" x14ac:dyDescent="0.25">
      <c r="A41" s="21">
        <v>27614</v>
      </c>
      <c r="B41" s="22">
        <v>1711.539</v>
      </c>
      <c r="C41" s="22">
        <v>519.18799999999999</v>
      </c>
    </row>
    <row r="42" spans="1:3" x14ac:dyDescent="0.25">
      <c r="A42" s="21">
        <v>27615</v>
      </c>
      <c r="B42" s="22">
        <v>1538.46</v>
      </c>
      <c r="C42" s="22">
        <v>475.31400000000002</v>
      </c>
    </row>
    <row r="43" spans="1:3" x14ac:dyDescent="0.25">
      <c r="A43" s="21">
        <v>27616</v>
      </c>
      <c r="B43" s="22">
        <v>1365.39</v>
      </c>
      <c r="C43" s="22">
        <v>434.11200000000002</v>
      </c>
    </row>
    <row r="44" spans="1:3" x14ac:dyDescent="0.25">
      <c r="A44" s="21">
        <v>27617</v>
      </c>
      <c r="B44" s="22">
        <v>1192.31</v>
      </c>
      <c r="C44" s="22">
        <v>393.56</v>
      </c>
    </row>
    <row r="45" spans="1:3" x14ac:dyDescent="0.25">
      <c r="A45" s="21">
        <v>27618</v>
      </c>
      <c r="B45" s="22">
        <v>1019.23</v>
      </c>
      <c r="C45" s="22">
        <v>357.887</v>
      </c>
    </row>
    <row r="46" spans="1:3" x14ac:dyDescent="0.25">
      <c r="A46" s="21">
        <v>27619</v>
      </c>
      <c r="B46" s="22">
        <v>846.15</v>
      </c>
      <c r="C46" s="22">
        <v>325.57600000000002</v>
      </c>
    </row>
    <row r="47" spans="1:3" x14ac:dyDescent="0.25">
      <c r="A47" s="21">
        <v>27620</v>
      </c>
      <c r="B47" s="22">
        <v>673.08</v>
      </c>
      <c r="C47" s="22">
        <v>285.983</v>
      </c>
    </row>
    <row r="48" spans="1:3" x14ac:dyDescent="0.25">
      <c r="A48" s="21">
        <v>27621</v>
      </c>
      <c r="B48" s="22">
        <v>500</v>
      </c>
      <c r="C48" s="22">
        <v>246.22200000000001</v>
      </c>
    </row>
    <row r="49" spans="1:3" x14ac:dyDescent="0.25">
      <c r="A49" s="21">
        <v>27622</v>
      </c>
      <c r="B49" s="22">
        <v>491.82</v>
      </c>
      <c r="C49" s="22">
        <v>235.14</v>
      </c>
    </row>
    <row r="50" spans="1:3" x14ac:dyDescent="0.25">
      <c r="A50" s="21">
        <v>27623</v>
      </c>
      <c r="B50" s="22">
        <v>483.64</v>
      </c>
      <c r="C50" s="22">
        <v>224.655</v>
      </c>
    </row>
    <row r="51" spans="1:3" x14ac:dyDescent="0.25">
      <c r="A51" s="21">
        <v>27624</v>
      </c>
      <c r="B51" s="22">
        <v>475.45</v>
      </c>
      <c r="C51" s="22">
        <v>218.7</v>
      </c>
    </row>
    <row r="52" spans="1:3" x14ac:dyDescent="0.25">
      <c r="A52" s="21">
        <v>27625</v>
      </c>
      <c r="B52" s="22">
        <v>467.27</v>
      </c>
      <c r="C52" s="22">
        <v>214.79599999999999</v>
      </c>
    </row>
    <row r="53" spans="1:3" x14ac:dyDescent="0.25">
      <c r="A53" s="21">
        <v>27626</v>
      </c>
      <c r="B53" s="22">
        <v>459.09</v>
      </c>
      <c r="C53" s="22">
        <v>212.57400000000001</v>
      </c>
    </row>
    <row r="54" spans="1:3" x14ac:dyDescent="0.25">
      <c r="A54" s="21">
        <v>27627</v>
      </c>
      <c r="B54" s="22">
        <v>450.91</v>
      </c>
      <c r="C54" s="22">
        <v>209.53800000000001</v>
      </c>
    </row>
    <row r="55" spans="1:3" x14ac:dyDescent="0.25">
      <c r="A55" s="21">
        <v>27628</v>
      </c>
      <c r="B55" s="22">
        <v>442.73</v>
      </c>
      <c r="C55" s="22">
        <v>207.86699999999999</v>
      </c>
    </row>
    <row r="56" spans="1:3" x14ac:dyDescent="0.25">
      <c r="A56" s="21">
        <v>27629</v>
      </c>
      <c r="B56" s="22">
        <v>434.55</v>
      </c>
      <c r="C56" s="22">
        <v>205.577</v>
      </c>
    </row>
    <row r="57" spans="1:3" x14ac:dyDescent="0.25">
      <c r="A57" s="21">
        <v>27630</v>
      </c>
      <c r="B57" s="22">
        <v>426.36</v>
      </c>
      <c r="C57" s="22">
        <v>202.714</v>
      </c>
    </row>
    <row r="58" spans="1:3" x14ac:dyDescent="0.25">
      <c r="A58" s="21">
        <v>27631</v>
      </c>
      <c r="B58" s="22">
        <v>418.18</v>
      </c>
      <c r="C58" s="22">
        <v>200.608</v>
      </c>
    </row>
    <row r="59" spans="1:3" x14ac:dyDescent="0.25">
      <c r="A59" s="21">
        <v>27632</v>
      </c>
      <c r="B59" s="22">
        <v>410</v>
      </c>
      <c r="C59" s="22">
        <v>196.95400000000001</v>
      </c>
    </row>
    <row r="60" spans="1:3" x14ac:dyDescent="0.25">
      <c r="A60" s="21">
        <v>27633</v>
      </c>
      <c r="B60" s="22">
        <v>401.82</v>
      </c>
      <c r="C60" s="22">
        <v>194</v>
      </c>
    </row>
    <row r="61" spans="1:3" x14ac:dyDescent="0.25">
      <c r="A61" s="21">
        <v>27634</v>
      </c>
      <c r="B61" s="22">
        <v>393.64</v>
      </c>
      <c r="C61" s="22">
        <v>190.33500000000001</v>
      </c>
    </row>
    <row r="62" spans="1:3" x14ac:dyDescent="0.25">
      <c r="A62" s="21">
        <v>27635</v>
      </c>
      <c r="B62" s="22">
        <v>385.45</v>
      </c>
      <c r="C62" s="22">
        <v>186.11799999999999</v>
      </c>
    </row>
    <row r="63" spans="1:3" x14ac:dyDescent="0.25">
      <c r="A63" s="21">
        <v>27636</v>
      </c>
      <c r="B63" s="22">
        <v>377.27</v>
      </c>
      <c r="C63" s="22">
        <v>182.91300000000001</v>
      </c>
    </row>
    <row r="64" spans="1:3" x14ac:dyDescent="0.25">
      <c r="A64" s="21">
        <v>27637</v>
      </c>
      <c r="B64" s="22">
        <v>369.09</v>
      </c>
      <c r="C64" s="22">
        <v>179.38800000000001</v>
      </c>
    </row>
    <row r="65" spans="1:3" x14ac:dyDescent="0.25">
      <c r="A65" s="21">
        <v>27638</v>
      </c>
      <c r="B65" s="22">
        <v>360.91</v>
      </c>
      <c r="C65" s="22">
        <v>175.887</v>
      </c>
    </row>
    <row r="66" spans="1:3" x14ac:dyDescent="0.25">
      <c r="A66" s="21">
        <v>27639</v>
      </c>
      <c r="B66" s="22">
        <v>352.73</v>
      </c>
      <c r="C66" s="22">
        <v>171.654</v>
      </c>
    </row>
    <row r="67" spans="1:3" x14ac:dyDescent="0.25">
      <c r="A67" s="21">
        <v>27640</v>
      </c>
      <c r="B67" s="22">
        <v>344.55</v>
      </c>
      <c r="C67" s="22">
        <v>168.18</v>
      </c>
    </row>
    <row r="68" spans="1:3" x14ac:dyDescent="0.25">
      <c r="A68" s="21">
        <v>27641</v>
      </c>
      <c r="B68" s="22">
        <v>336.36</v>
      </c>
      <c r="C68" s="22">
        <v>164.90799999999999</v>
      </c>
    </row>
    <row r="69" spans="1:3" x14ac:dyDescent="0.25">
      <c r="A69" s="21">
        <v>27642</v>
      </c>
      <c r="B69" s="22">
        <v>328.18</v>
      </c>
      <c r="C69" s="22">
        <v>161.81</v>
      </c>
    </row>
    <row r="70" spans="1:3" x14ac:dyDescent="0.25">
      <c r="A70" s="21">
        <v>27643</v>
      </c>
      <c r="B70" s="22">
        <v>320</v>
      </c>
      <c r="C70" s="22">
        <v>159.458</v>
      </c>
    </row>
    <row r="71" spans="1:3" x14ac:dyDescent="0.25">
      <c r="A71" s="21">
        <v>27644</v>
      </c>
      <c r="B71" s="22">
        <v>311.82</v>
      </c>
      <c r="C71" s="22">
        <v>156.19300000000001</v>
      </c>
    </row>
    <row r="72" spans="1:3" x14ac:dyDescent="0.25">
      <c r="A72" s="21">
        <v>27645</v>
      </c>
      <c r="B72" s="22">
        <v>303.64</v>
      </c>
      <c r="C72" s="22">
        <v>152.953</v>
      </c>
    </row>
    <row r="73" spans="1:3" x14ac:dyDescent="0.25">
      <c r="A73" s="21">
        <v>27646</v>
      </c>
      <c r="B73" s="22">
        <v>295.45</v>
      </c>
      <c r="C73" s="22">
        <v>164.41399999999999</v>
      </c>
    </row>
    <row r="74" spans="1:3" x14ac:dyDescent="0.25">
      <c r="A74" s="21">
        <v>27647</v>
      </c>
      <c r="B74" s="22">
        <v>287.27</v>
      </c>
      <c r="C74" s="22">
        <v>155.036</v>
      </c>
    </row>
    <row r="75" spans="1:3" x14ac:dyDescent="0.25">
      <c r="A75" s="21">
        <v>27648</v>
      </c>
      <c r="B75" s="22">
        <v>279.08999999999997</v>
      </c>
      <c r="C75" s="22">
        <v>151.21299999999999</v>
      </c>
    </row>
    <row r="76" spans="1:3" x14ac:dyDescent="0.25">
      <c r="A76" s="21">
        <v>27649</v>
      </c>
      <c r="B76" s="22">
        <v>270.91000000000003</v>
      </c>
      <c r="C76" s="22">
        <v>156.57900000000001</v>
      </c>
    </row>
    <row r="77" spans="1:3" x14ac:dyDescent="0.25">
      <c r="A77" s="21">
        <v>27650</v>
      </c>
      <c r="B77" s="22">
        <v>262.73</v>
      </c>
      <c r="C77" s="22">
        <v>167.96899999999999</v>
      </c>
    </row>
    <row r="78" spans="1:3" x14ac:dyDescent="0.25">
      <c r="A78" s="21">
        <v>27651</v>
      </c>
      <c r="B78" s="22">
        <v>254.55</v>
      </c>
      <c r="C78" s="22">
        <v>144.12200000000001</v>
      </c>
    </row>
    <row r="79" spans="1:3" x14ac:dyDescent="0.25">
      <c r="A79" s="21">
        <v>27652</v>
      </c>
      <c r="B79" s="22">
        <v>246.36</v>
      </c>
      <c r="C79" s="22">
        <v>161.99</v>
      </c>
    </row>
    <row r="80" spans="1:3" x14ac:dyDescent="0.25">
      <c r="A80" s="21">
        <v>27653</v>
      </c>
      <c r="B80" s="22">
        <v>238.18</v>
      </c>
      <c r="C80" s="22">
        <v>143.12100000000001</v>
      </c>
    </row>
    <row r="81" spans="1:3" x14ac:dyDescent="0.25">
      <c r="A81" s="21">
        <v>27654</v>
      </c>
      <c r="B81" s="22">
        <v>230</v>
      </c>
      <c r="C81" s="22">
        <v>118.776</v>
      </c>
    </row>
    <row r="82" spans="1:3" x14ac:dyDescent="0.25">
      <c r="A82" s="21">
        <v>27655</v>
      </c>
      <c r="B82" s="22">
        <v>221.82</v>
      </c>
      <c r="C82" s="22">
        <v>133.172</v>
      </c>
    </row>
    <row r="83" spans="1:3" x14ac:dyDescent="0.25">
      <c r="A83" s="21">
        <v>27656</v>
      </c>
      <c r="B83" s="22">
        <v>213.64</v>
      </c>
      <c r="C83" s="22">
        <v>117.572</v>
      </c>
    </row>
    <row r="84" spans="1:3" x14ac:dyDescent="0.25">
      <c r="A84" s="21">
        <v>27657</v>
      </c>
      <c r="B84" s="22">
        <v>205.45</v>
      </c>
      <c r="C84" s="22">
        <v>119.803</v>
      </c>
    </row>
    <row r="85" spans="1:3" x14ac:dyDescent="0.25">
      <c r="A85" s="21">
        <v>27658</v>
      </c>
      <c r="B85" s="22">
        <v>197.27</v>
      </c>
      <c r="C85" s="22">
        <v>116.943</v>
      </c>
    </row>
    <row r="86" spans="1:3" x14ac:dyDescent="0.25">
      <c r="A86" s="21">
        <v>27659</v>
      </c>
      <c r="B86" s="22">
        <v>189.09</v>
      </c>
      <c r="C86" s="22">
        <v>104.63500000000001</v>
      </c>
    </row>
    <row r="87" spans="1:3" x14ac:dyDescent="0.25">
      <c r="A87" s="21">
        <v>27660</v>
      </c>
      <c r="B87" s="22">
        <v>180.91</v>
      </c>
      <c r="C87" s="22">
        <v>110.399</v>
      </c>
    </row>
    <row r="88" spans="1:3" x14ac:dyDescent="0.25">
      <c r="A88" s="21">
        <v>27661</v>
      </c>
      <c r="B88" s="22">
        <v>172.73</v>
      </c>
      <c r="C88" s="22">
        <v>105.194</v>
      </c>
    </row>
    <row r="89" spans="1:3" x14ac:dyDescent="0.25">
      <c r="A89" s="21">
        <v>27662</v>
      </c>
      <c r="B89" s="22">
        <v>164.55</v>
      </c>
      <c r="C89" s="22">
        <v>110.51</v>
      </c>
    </row>
    <row r="90" spans="1:3" x14ac:dyDescent="0.25">
      <c r="A90" s="21">
        <v>27663</v>
      </c>
      <c r="B90" s="22">
        <v>156.36000000000001</v>
      </c>
      <c r="C90" s="22">
        <v>97.727000000000004</v>
      </c>
    </row>
    <row r="91" spans="1:3" x14ac:dyDescent="0.25">
      <c r="A91" s="21">
        <v>27664</v>
      </c>
      <c r="B91" s="22">
        <v>148.18</v>
      </c>
      <c r="C91" s="22">
        <v>148.55199999999999</v>
      </c>
    </row>
    <row r="92" spans="1:3" x14ac:dyDescent="0.25">
      <c r="A92" s="21">
        <v>27665</v>
      </c>
      <c r="B92" s="22">
        <v>140</v>
      </c>
      <c r="C92" s="22">
        <v>114.229</v>
      </c>
    </row>
    <row r="93" spans="1:3" x14ac:dyDescent="0.25">
      <c r="A93" s="21">
        <v>27666</v>
      </c>
      <c r="B93" s="22">
        <v>131.82</v>
      </c>
      <c r="C93" s="22">
        <v>101.75</v>
      </c>
    </row>
    <row r="94" spans="1:3" x14ac:dyDescent="0.25">
      <c r="A94" s="21">
        <v>27667</v>
      </c>
      <c r="B94" s="22">
        <v>123.64</v>
      </c>
      <c r="C94" s="22">
        <v>94.314999999999998</v>
      </c>
    </row>
    <row r="95" spans="1:3" x14ac:dyDescent="0.25">
      <c r="A95" s="21">
        <v>27668</v>
      </c>
      <c r="B95" s="22">
        <v>115.45</v>
      </c>
      <c r="C95" s="22">
        <v>111.291</v>
      </c>
    </row>
    <row r="96" spans="1:3" x14ac:dyDescent="0.25">
      <c r="A96" s="21">
        <v>27669</v>
      </c>
      <c r="B96" s="22">
        <v>107.27</v>
      </c>
      <c r="C96" s="22">
        <v>103.045</v>
      </c>
    </row>
    <row r="97" spans="1:3" x14ac:dyDescent="0.25">
      <c r="A97" s="21">
        <v>27670</v>
      </c>
      <c r="B97" s="22">
        <v>99.09</v>
      </c>
      <c r="C97" s="22">
        <v>106.241</v>
      </c>
    </row>
    <row r="98" spans="1:3" x14ac:dyDescent="0.25">
      <c r="A98" s="21">
        <v>27671</v>
      </c>
      <c r="B98" s="22">
        <v>90.91</v>
      </c>
      <c r="C98" s="22">
        <v>105.509</v>
      </c>
    </row>
    <row r="99" spans="1:3" x14ac:dyDescent="0.25">
      <c r="A99" s="21">
        <v>27672</v>
      </c>
      <c r="B99" s="22">
        <v>82.73</v>
      </c>
      <c r="C99" s="22">
        <v>91.795000000000002</v>
      </c>
    </row>
    <row r="100" spans="1:3" x14ac:dyDescent="0.25">
      <c r="A100" s="21">
        <v>27673</v>
      </c>
      <c r="B100" s="22">
        <v>74.55</v>
      </c>
      <c r="C100" s="22">
        <v>84.325999999999993</v>
      </c>
    </row>
    <row r="101" spans="1:3" x14ac:dyDescent="0.25">
      <c r="A101" s="21">
        <v>27674</v>
      </c>
      <c r="B101" s="22">
        <v>66.36</v>
      </c>
      <c r="C101" s="22">
        <v>76.716999999999999</v>
      </c>
    </row>
    <row r="102" spans="1:3" x14ac:dyDescent="0.25">
      <c r="A102" s="21">
        <v>27675</v>
      </c>
      <c r="B102" s="22">
        <v>58.18</v>
      </c>
      <c r="C102" s="22">
        <v>72.972999999999999</v>
      </c>
    </row>
    <row r="103" spans="1:3" x14ac:dyDescent="0.25">
      <c r="A103" s="21">
        <v>27676</v>
      </c>
      <c r="B103" s="22">
        <v>50</v>
      </c>
      <c r="C103" s="22">
        <v>63.484000000000002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Flow</vt:lpstr>
      <vt:lpstr>Bed Sediment</vt:lpstr>
      <vt:lpstr>Sediment Flux Boundary Conditon</vt:lpstr>
      <vt:lpstr>Other</vt:lpstr>
      <vt:lpstr>Concentration Calibration</vt:lpstr>
    </vt:vector>
  </TitlesOfParts>
  <Company>United States Army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q0hecsag</dc:creator>
  <cp:lastModifiedBy>q0hecsag</cp:lastModifiedBy>
  <dcterms:created xsi:type="dcterms:W3CDTF">2019-03-09T00:48:00Z</dcterms:created>
  <dcterms:modified xsi:type="dcterms:W3CDTF">2019-07-11T23:20:14Z</dcterms:modified>
</cp:coreProperties>
</file>